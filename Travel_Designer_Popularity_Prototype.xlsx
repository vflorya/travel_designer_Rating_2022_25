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087a50f44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йтинг" sheetId="1" r:id="Rbfe9d76f63ea4ae1"/>
    <x:sheet xmlns:r="http://schemas.openxmlformats.org/officeDocument/2006/relationships" name="Веса" sheetId="2" r:id="R095743922531422d"/>
    <x:sheet xmlns:r="http://schemas.openxmlformats.org/officeDocument/2006/relationships" name="Расчет" sheetId="3" r:id="R611fc7272d31433b"/>
    <x:sheet xmlns:r="http://schemas.openxmlformats.org/officeDocument/2006/relationships" name="Региональные данные" sheetId="4" r:id="Rf0ed359e0e384bf5"/>
    <x:sheet xmlns:r="http://schemas.openxmlformats.org/officeDocument/2006/relationships" name="Исходные курорты" sheetId="5" r:id="R59e74fcb44424ab3"/>
    <x:sheet xmlns:r="http://schemas.openxmlformats.org/officeDocument/2006/relationships" name="Методика" sheetId="6" r:id="R6e0fa010d3e5447e"/>
    <x:sheet xmlns:r="http://schemas.openxmlformats.org/officeDocument/2006/relationships" name="Расширенные данные" sheetId="7" r:id="Rdff21f6f69e84565"/>
    <x:sheet xmlns:r="http://schemas.openxmlformats.org/officeDocument/2006/relationships" name="Каталог Росстата" sheetId="8" r:id="Rf73e43c4d9424c5c"/>
    <x:sheet xmlns:r="http://schemas.openxmlformats.org/officeDocument/2006/relationships" name="Региональные источники" sheetId="9" r:id="R430d971698aa4b0a"/>
    <x:sheet xmlns:r="http://schemas.openxmlformats.org/officeDocument/2006/relationships" name="Региональные метрики" sheetId="10" r:id="R31cd671b26cc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"/>
    <x:numFmt numFmtId="202" formatCode="0&quot; п.п.&quot;"/>
    <x:numFmt numFmtId="203" formatCode="#,##0"/>
    <x:numFmt numFmtId="204" formatCode="0.0%"/>
    <x:numFmt numFmtId="205" formatCode="#,##0.0"/>
    <x:numFmt numFmtId="206" formatCode="0.00%"/>
    <x:numFmt numFmtId="207" formatCode="0%"/>
  </x:numFmts>
  <x:fonts count="8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B6770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i/>
      <x:sz val="9"/>
      <x:color rgb="FF5B6770"/>
      <x:name val="Arial"/>
    </x:font>
    <x:font>
      <x:b/>
      <x:sz val="10"/>
      <x:color rgb="FF1F29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EF5FA"/>
      </x:patternFill>
    </x:fill>
    <x:fill>
      <x:patternFill patternType="solid">
        <x:fgColor rgb="FF17324D"/>
      </x:patternFill>
    </x:fill>
    <x:fill>
      <x:patternFill patternType="solid">
        <x:fgColor rgb="FFFFF3C4"/>
      </x:patternFill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9">
    <x:border/>
    <x:border>
      <x:bottom style="thin">
        <x:color rgb="FF2F6B9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7DEE5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2F6B9A"/>
      </x:left>
      <x:top style="thin">
        <x:color rgb="FF2F6B9A"/>
      </x:top>
      <x:bottom style="thin">
        <x:color rgb="FF2F6B9A"/>
      </x:bottom>
    </x:border>
    <x:border>
      <x:right style="thin">
        <x:color rgb="FF2F6B9A"/>
      </x:right>
      <x:top style="thin">
        <x:color rgb="FF2F6B9A"/>
      </x:top>
      <x:bottom style="thin">
        <x:color rgb="FF2F6B9A"/>
      </x:bottom>
    </x:border>
    <x:border>
      <x:top style="thin">
        <x:color rgb="FF2F6B9A"/>
      </x:top>
      <x:bottom style="thin">
        <x:color rgb="FF2F6B9A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201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1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1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1" fillId="0" xfId="0" applyNumberFormat="1" applyFont="1" applyFill="1" applyBorder="0" applyAlignment="1">
      <x:alignment vertical="center"/>
    </x:xf>
    <x:xf numFmtId="203" fontId="1" fillId="0" xfId="0" applyNumberFormat="1" applyFont="1" applyFill="1" applyBorder="0" applyAlignment="1">
      <x:alignment vertical="center"/>
    </x:xf>
    <x:xf numFmtId="204" fontId="1" fillId="0" xfId="0" applyNumberFormat="1" applyFont="1" applyFill="1" applyBorder="0" applyAlignment="1">
      <x:alignment vertical="center"/>
    </x:xf>
    <x:xf numFmtId="205" fontId="1" fillId="0" xfId="0" applyNumberFormat="1" applyFont="1" applyFill="1" applyBorder="0" applyAlignment="1">
      <x:alignment vertical="center"/>
    </x:xf>
    <x:xf numFmtId="206" fontId="1" fillId="0" xfId="0" applyNumberFormat="1" applyFont="1" applyFill="1" applyBorder="0" applyAlignment="1">
      <x:alignment vertical="center"/>
    </x:xf>
    <x:xf numFmtId="207" fontId="1" fillId="0" xfId="0" applyNumberFormat="1" applyFont="1" applyFill="1" applyBorder="0" applyAlignment="1">
      <x:alignment vertical="center"/>
    </x:xf>
    <x:xf numFmtId="0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206" fontId="0" fillId="0" borderId="4" xfId="0" applyNumberFormat="1" applyFont="1" applyFill="1" applyBorder="1"/>
    <x:xf numFmtId="207" fontId="0" fillId="0" borderId="4" xfId="0" applyNumberFormat="1" applyFont="1" applyFill="1" applyBorder="1"/>
    <x:xf numFmtId="0" fontId="1" fillId="0" xfId="0" applyNumberFormat="1" applyFont="1" applyFill="1" applyBorder="0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F5130"/>
      </x:font>
      <x:fill>
        <x:patternFill>
          <x:bgColor rgb="FFDDEFE2"/>
        </x:patternFill>
      </x:fill>
    </x:dxf>
    <x:dxf>
      <x:font>
        <x:b/>
        <x:color rgb="FF8B1E1E"/>
      </x:font>
      <x:fill>
        <x:patternFill>
          <x:bgColor rgb="FFF7D7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8efa4560c4e4e" /><Relationship Type="http://schemas.openxmlformats.org/officeDocument/2006/relationships/theme" Target="/xl/theme/theme1.xml" Id="Rd34c1a1b7ae74424" /><Relationship Type="http://schemas.openxmlformats.org/officeDocument/2006/relationships/sharedStrings" Target="/xl/sharedStrings.xml" Id="Rfe7ef1515bbb4d58" /><Relationship Type="http://schemas.openxmlformats.org/officeDocument/2006/relationships/worksheet" Target="/xl/worksheets/sheet1.xml" Id="Rbfe9d76f63ea4ae1" /><Relationship Type="http://schemas.openxmlformats.org/officeDocument/2006/relationships/worksheet" Target="/xl/worksheets/sheet2.xml" Id="R095743922531422d" /><Relationship Type="http://schemas.openxmlformats.org/officeDocument/2006/relationships/worksheet" Target="/xl/worksheets/sheet3.xml" Id="R611fc7272d31433b" /><Relationship Type="http://schemas.openxmlformats.org/officeDocument/2006/relationships/worksheet" Target="/xl/worksheets/sheet4.xml" Id="Rf0ed359e0e384bf5" /><Relationship Type="http://schemas.openxmlformats.org/officeDocument/2006/relationships/worksheet" Target="/xl/worksheets/sheet5.xml" Id="R59e74fcb44424ab3" /><Relationship Type="http://schemas.openxmlformats.org/officeDocument/2006/relationships/worksheet" Target="/xl/worksheets/sheet6.xml" Id="R6e0fa010d3e5447e" /><Relationship Type="http://schemas.openxmlformats.org/officeDocument/2006/relationships/worksheet" Target="/xl/worksheets/sheet7.xml" Id="Rdff21f6f69e84565" /><Relationship Type="http://schemas.openxmlformats.org/officeDocument/2006/relationships/worksheet" Target="/xl/worksheets/sheet8.xml" Id="Rf73e43c4d9424c5c" /><Relationship Type="http://schemas.openxmlformats.org/officeDocument/2006/relationships/worksheet" Target="/xl/worksheets/sheet9.xml" Id="R430d971698aa4b0a" /><Relationship Type="http://schemas.openxmlformats.org/officeDocument/2006/relationships/worksheet" Target="/xl/worksheets/sheet10.xml" Id="R31cd671b26cc48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Прототип оценки популярности горнолыжных курортов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6" t="str">
        <x:v>Индекс 0–100 объединяет региональный турпоток Росстата/ЕМИСС, инфраструктуру, климат, доступность и цены. Это оценка потенциала, а не фактическая посещаемость конкретного курорта.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8" t="str">
        <x:v>Лидер по базовым весам</x:v>
      </x:c>
      <x:c r="B6" s="2"/>
      <x:c r="C6" s="2" t="str">
        <x:f>'Расчет'!B4</x:f>
        <x:v>Газпром Поляна</x:v>
      </x:c>
      <x:c r="D6" s="15" t="str">
        <x:v>Состав индекса</x:v>
      </x:c>
      <x:c r="E6" s="16" t="str">
        <x:v>Вес</x:v>
      </x:c>
      <x:c r="F6" s="2"/>
      <x:c r="G6" s="2"/>
      <x:c r="H6" s="2"/>
      <x:c r="I6" s="2"/>
      <x:c r="J6" s="2"/>
      <x:c r="K6" s="2"/>
    </x:row>
    <x:row r="7" ht="30" customHeight="1">
      <x:c r="A7" s="8" t="str">
        <x:v>Средний индекс</x:v>
      </x:c>
      <x:c r="B7" s="2"/>
      <x:c r="C7" s="9" t="n">
        <x:f>AVERAGE('Расчет'!$AJ$4:$AJ$35)</x:f>
        <x:v>48.12345090645426</x:v>
      </x:c>
      <x:c r="D7" s="20" t="str">
        <x:v>Региональный спрос</x:v>
      </x:c>
      <x:c r="E7" s="17" t="n">
        <x:v>40</x:v>
      </x:c>
      <x:c r="F7" s="2"/>
      <x:c r="G7" s="2"/>
      <x:c r="H7" s="2"/>
      <x:c r="I7" s="2"/>
      <x:c r="J7" s="2"/>
      <x:c r="K7" s="2"/>
    </x:row>
    <x:row r="8" ht="30" customHeight="1">
      <x:c r="A8" s="8" t="str">
        <x:v>Курортов с ценами</x:v>
      </x:c>
      <x:c r="B8" s="2"/>
      <x:c r="C8" s="10" t="n">
        <x:f>COUNT('Расчет'!$P$4:$P$35)</x:f>
        <x:v>9</x:v>
      </x:c>
      <x:c r="D8" s="20" t="str">
        <x:v>Инфраструктура</x:v>
      </x:c>
      <x:c r="E8" s="17" t="n">
        <x:v>25</x:v>
      </x:c>
      <x:c r="F8" s="2"/>
      <x:c r="G8" s="2"/>
      <x:c r="H8" s="2"/>
      <x:c r="I8" s="2"/>
      <x:c r="J8" s="2"/>
      <x:c r="K8" s="2"/>
    </x:row>
    <x:row r="9" ht="30" customHeight="1">
      <x:c r="A9" s="2"/>
      <x:c r="B9" s="2"/>
      <x:c r="C9" s="2"/>
      <x:c r="D9" s="20" t="str">
        <x:v>Зимняя устойчивость</x:v>
      </x:c>
      <x:c r="E9" s="17" t="n">
        <x:v>20</x:v>
      </x:c>
      <x:c r="F9" s="2"/>
      <x:c r="G9" s="2"/>
      <x:c r="H9" s="2"/>
      <x:c r="I9" s="2"/>
      <x:c r="J9" s="2"/>
      <x:c r="K9" s="2"/>
    </x:row>
    <x:row r="10" ht="30" customHeight="1">
      <x:c r="A10" s="2"/>
      <x:c r="B10" s="2"/>
      <x:c r="C10" s="2"/>
      <x:c r="D10" s="20" t="str">
        <x:v>Доступность</x:v>
      </x:c>
      <x:c r="E10" s="17" t="n">
        <x:v>10</x:v>
      </x:c>
      <x:c r="F10" s="2"/>
      <x:c r="G10" s="2"/>
      <x:c r="H10" s="2"/>
      <x:c r="I10" s="2"/>
      <x:c r="J10" s="2"/>
      <x:c r="K10" s="2"/>
    </x:row>
    <x:row r="11" ht="30" customHeight="1">
      <x:c r="A11" s="2"/>
      <x:c r="B11" s="2"/>
      <x:c r="C11" s="2"/>
      <x:c r="D11" s="21" t="str">
        <x:v>Ценовая доступность</x:v>
      </x:c>
      <x:c r="E11" s="19" t="n">
        <x:v>5</x:v>
      </x:c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customHeight="1">
      <x:c r="A14" s="15" t="str">
        <x:v>Место</x:v>
      </x:c>
      <x:c r="B14" s="22" t="str">
        <x:v>Курорт</x:v>
      </x:c>
      <x:c r="C14" s="22" t="str">
        <x:v>Регион</x:v>
      </x:c>
      <x:c r="D14" s="22" t="str">
        <x:v>Индекс</x:v>
      </x:c>
      <x:c r="E14" s="22" t="str">
        <x:v>Спрос</x:v>
      </x:c>
      <x:c r="F14" s="22" t="str">
        <x:v>Инфраструктура</x:v>
      </x:c>
      <x:c r="G14" s="22" t="str">
        <x:v>Зимняя устойчивость</x:v>
      </x:c>
      <x:c r="H14" s="22" t="str">
        <x:v>Доступность</x:v>
      </x:c>
      <x:c r="I14" s="22" t="str">
        <x:v>Цена</x:v>
      </x:c>
      <x:c r="J14" s="22" t="str">
        <x:v>Уверенность</x:v>
      </x:c>
      <x:c r="K14" s="16" t="str">
        <x:v>Интерпретация</x:v>
      </x:c>
    </x:row>
    <x:row r="15">
      <x:c r="A15" s="10" t="n">
        <x:f>'Расчет'!AK4</x:f>
        <x:v>1</x:v>
      </x:c>
      <x:c r="B15" s="2" t="str">
        <x:f>'Расчет'!B4</x:f>
        <x:v>Газпром Поляна</x:v>
      </x:c>
      <x:c r="C15" s="2" t="str">
        <x:f>'Расчет'!C4</x:f>
        <x:v>Краснодарский край</x:v>
      </x:c>
      <x:c r="D15" s="9" t="n">
        <x:f>'Расчет'!AJ4</x:f>
        <x:v>73.78878690232328</x:v>
      </x:c>
      <x:c r="E15" s="9" t="n">
        <x:f>'Расчет'!AE4</x:f>
        <x:v>80.91181770767983</x:v>
      </x:c>
      <x:c r="F15" s="9" t="n">
        <x:f>'Расчет'!AF4</x:f>
        <x:v>97.01831836743233</x:v>
      </x:c>
      <x:c r="G15" s="9" t="n">
        <x:f>'Расчет'!AG4</x:f>
        <x:v>52.51457688282551</x:v>
      </x:c>
      <x:c r="H15" s="9" t="n">
        <x:f>'Расчет'!AH4</x:f>
        <x:v>46.534399819042825</x:v>
      </x:c>
      <x:c r="I15" s="9" t="n">
        <x:f>'Расчет'!AI4</x:f>
        <x:v>40.2624973784775</x:v>
      </x:c>
      <x:c r="J15" s="9" t="n">
        <x:f>'Расчет'!AL4</x:f>
        <x:v>100</x:v>
      </x:c>
      <x:c r="K15" s="2" t="str">
        <x:f>IF(D15&gt;=70,"Высокий потенциал",IF(D15&gt;=55,"Выше среднего",IF(D15&gt;=40,"Средний","Низкий по текущим данным")))</x:f>
        <x:v>Высокий потенциал</x:v>
      </x:c>
    </x:row>
    <x:row r="16">
      <x:c r="A16" s="10" t="n">
        <x:f>'Расчет'!AK5</x:f>
        <x:v>2</x:v>
      </x:c>
      <x:c r="B16" s="2" t="str">
        <x:f>'Расчет'!B5</x:f>
        <x:v>Красная Поляна</x:v>
      </x:c>
      <x:c r="C16" s="2" t="str">
        <x:f>'Расчет'!C5</x:f>
        <x:v>Краснодарский край</x:v>
      </x:c>
      <x:c r="D16" s="9" t="n">
        <x:f>'Расчет'!AJ5</x:f>
        <x:v>71.68784968311971</x:v>
      </x:c>
      <x:c r="E16" s="9" t="n">
        <x:f>'Расчет'!AE5</x:f>
        <x:v>80.91181770767983</x:v>
      </x:c>
      <x:c r="F16" s="9" t="n">
        <x:f>'Расчет'!AF5</x:f>
        <x:v>90.58411818676348</x:v>
      </x:c>
      <x:c r="G16" s="9" t="n">
        <x:f>'Расчет'!AG5</x:f>
        <x:v>52.16886625542473</x:v>
      </x:c>
      <x:c r="H16" s="9" t="n">
        <x:f>'Расчет'!AH5</x:f>
        <x:v>46.968683934388125</x:v>
      </x:c>
      <x:c r="I16" s="9" t="n">
        <x:f>'Расчет'!AI5</x:f>
        <x:v>30.92902817666277</x:v>
      </x:c>
      <x:c r="J16" s="9" t="n">
        <x:f>'Расчет'!AL5</x:f>
        <x:v>100</x:v>
      </x:c>
      <x:c r="K16" s="2" t="str">
        <x:f>IF(D16&gt;=70,"Высокий потенциал",IF(D16&gt;=55,"Выше среднего",IF(D16&gt;=40,"Средний","Низкий по текущим данным")))</x:f>
        <x:v>Высокий потенциал</x:v>
      </x:c>
    </x:row>
    <x:row r="17">
      <x:c r="A17" s="10" t="n">
        <x:f>'Расчет'!AK6</x:f>
        <x:v>3</x:v>
      </x:c>
      <x:c r="B17" s="2" t="str">
        <x:f>'Расчет'!B6</x:f>
        <x:v>Роза Хутор</x:v>
      </x:c>
      <x:c r="C17" s="2" t="str">
        <x:f>'Расчет'!C6</x:f>
        <x:v>Краснодарский край</x:v>
      </x:c>
      <x:c r="D17" s="9" t="n">
        <x:f>'Расчет'!AJ6</x:f>
        <x:v>71.56984282569421</x:v>
      </x:c>
      <x:c r="E17" s="9" t="n">
        <x:f>'Расчет'!AE6</x:f>
        <x:v>80.91181770767983</x:v>
      </x:c>
      <x:c r="F17" s="9" t="n">
        <x:f>'Расчет'!AF6</x:f>
        <x:v>94.41234140979233</x:v>
      </x:c>
      <x:c r="G17" s="9" t="n">
        <x:f>'Расчет'!AG6</x:f>
        <x:v>55.702797113299255</x:v>
      </x:c>
      <x:c r="H17" s="9" t="n">
        <x:f>'Расчет'!AH6</x:f>
        <x:v>44.61470967514353</x:v>
      </x:c>
      <x:c r="I17" s="9" t="n">
        <x:f>'Расчет'!AI6</x:f>
        <x:v>0</x:v>
      </x:c>
      <x:c r="J17" s="9" t="n">
        <x:f>'Расчет'!AL6</x:f>
        <x:v>75</x:v>
      </x:c>
      <x:c r="K17" s="2" t="str">
        <x:f>IF(D17&gt;=70,"Высокий потенциал",IF(D17&gt;=55,"Выше среднего",IF(D17&gt;=40,"Средний","Низкий по текущим данным")))</x:f>
        <x:v>Высокий потенциал</x:v>
      </x:c>
    </x:row>
    <x:row r="18">
      <x:c r="A18" s="10" t="n">
        <x:f>'Расчет'!AK7</x:f>
        <x:v>4</x:v>
      </x:c>
      <x:c r="B18" s="2" t="str">
        <x:f>'Расчет'!B7</x:f>
        <x:v>Сорочаны</x:v>
      </x:c>
      <x:c r="C18" s="2" t="str">
        <x:f>'Расчет'!C7</x:f>
        <x:v>Московская область</x:v>
      </x:c>
      <x:c r="D18" s="9" t="n">
        <x:f>'Расчет'!AJ7</x:f>
        <x:v>70.14351338352984</x:v>
      </x:c>
      <x:c r="E18" s="9" t="n">
        <x:f>'Расчет'!AE7</x:f>
        <x:v>94.15044178149155</x:v>
      </x:c>
      <x:c r="F18" s="9" t="n">
        <x:f>'Расчет'!AF7</x:f>
        <x:v>65.44471107903081</x:v>
      </x:c>
      <x:c r="G18" s="9" t="n">
        <x:f>'Расчет'!AG7</x:f>
        <x:v>43.64877134302675</x:v>
      </x:c>
      <x:c r="H18" s="9" t="n">
        <x:f>'Расчет'!AH7</x:f>
        <x:v>48.92404632570158</x:v>
      </x:c>
      <x:c r="I18" s="9" t="n">
        <x:f>'Расчет'!AI7</x:f>
        <x:v>50</x:v>
      </x:c>
      <x:c r="J18" s="9" t="n">
        <x:f>'Расчет'!AL7</x:f>
        <x:v>75</x:v>
      </x:c>
      <x:c r="K18" s="2" t="str">
        <x:f>IF(D18&gt;=70,"Высокий потенциал",IF(D18&gt;=55,"Выше среднего",IF(D18&gt;=40,"Средний","Низкий по текущим данным")))</x:f>
        <x:v>Высокий потенциал</x:v>
      </x:c>
    </x:row>
    <x:row r="19">
      <x:c r="A19" s="10" t="n">
        <x:f>'Расчет'!AK8</x:f>
        <x:v>5</x:v>
      </x:c>
      <x:c r="B19" s="2" t="str">
        <x:f>'Расчет'!B8</x:f>
        <x:v>Архыз</x:v>
      </x:c>
      <x:c r="C19" s="2" t="str">
        <x:f>'Расчет'!C8</x:f>
        <x:v>Карачаево-Черкесская Республика</x:v>
      </x:c>
      <x:c r="D19" s="9" t="n">
        <x:f>'Расчет'!AJ8</x:f>
        <x:v>59.250873458747044</x:v>
      </x:c>
      <x:c r="E19" s="9" t="n">
        <x:f>'Расчет'!AE8</x:f>
        <x:v>51.47678811262919</x:v>
      </x:c>
      <x:c r="F19" s="9" t="n">
        <x:f>'Расчет'!AF8</x:f>
        <x:v>71.8300093028059</x:v>
      </x:c>
      <x:c r="G19" s="9" t="n">
        <x:f>'Расчет'!AG8</x:f>
        <x:v>79.99929820588267</x:v>
      </x:c>
      <x:c r="H19" s="9" t="n">
        <x:f>'Расчет'!AH8</x:f>
        <x:v>24.53600833203146</x:v>
      </x:c>
      <x:c r="I19" s="9" t="n">
        <x:f>'Расчет'!AI8</x:f>
        <x:v>44.9839082722843</x:v>
      </x:c>
      <x:c r="J19" s="9" t="n">
        <x:f>'Расчет'!AL8</x:f>
        <x:v>100</x:v>
      </x:c>
      <x:c r="K19" s="2" t="str">
        <x:f>IF(D19&gt;=70,"Высокий потенциал",IF(D19&gt;=55,"Выше среднего",IF(D19&gt;=40,"Средний","Низкий по текущим данным")))</x:f>
        <x:v>Выше среднего</x:v>
      </x:c>
    </x:row>
    <x:row r="20">
      <x:c r="A20" s="10" t="n">
        <x:f>'Расчет'!AK9</x:f>
        <x:v>6</x:v>
      </x:c>
      <x:c r="B20" s="2" t="str">
        <x:f>'Расчет'!B9</x:f>
        <x:v>Домбай</x:v>
      </x:c>
      <x:c r="C20" s="2" t="str">
        <x:f>'Расчет'!C9</x:f>
        <x:v>Карачаево-Черкесская Республика</x:v>
      </x:c>
      <x:c r="D20" s="9" t="n">
        <x:f>'Расчет'!AJ9</x:f>
        <x:v>57.31548722848554</x:v>
      </x:c>
      <x:c r="E20" s="9" t="n">
        <x:f>'Расчет'!AE9</x:f>
        <x:v>51.47678811262919</x:v>
      </x:c>
      <x:c r="F20" s="9" t="n">
        <x:f>'Расчет'!AF9</x:f>
        <x:v>65.94568983503126</x:v>
      </x:c>
      <x:c r="G20" s="9" t="n">
        <x:f>'Расчет'!AG9</x:f>
        <x:v>81.08477065602169</x:v>
      </x:c>
      <x:c r="H20" s="9" t="n">
        <x:f>'Расчет'!AH9</x:f>
        <x:v>15.213953934717107</x:v>
      </x:c>
      <x:c r="I20" s="9" t="n">
        <x:f>'Расчет'!AI9</x:f>
        <x:v>50</x:v>
      </x:c>
      <x:c r="J20" s="9" t="n">
        <x:f>'Расчет'!AL9</x:f>
        <x:v>75</x:v>
      </x:c>
      <x:c r="K20" s="2" t="str">
        <x:f>IF(D20&gt;=70,"Высокий потенциал",IF(D20&gt;=55,"Выше среднего",IF(D20&gt;=40,"Средний","Низкий по текущим данным")))</x:f>
        <x:v>Выше среднего</x:v>
      </x:c>
    </x:row>
    <x:row r="21">
      <x:c r="A21" s="10" t="n">
        <x:f>'Расчет'!AK10</x:f>
        <x:v>7</x:v>
      </x:c>
      <x:c r="B21" s="2" t="str">
        <x:f>'Расчет'!B10</x:f>
        <x:v>Игора</x:v>
      </x:c>
      <x:c r="C21" s="2" t="str">
        <x:f>'Расчет'!C10</x:f>
        <x:v>Ленинградская область</x:v>
      </x:c>
      <x:c r="D21" s="9" t="n">
        <x:f>'Расчет'!AJ10</x:f>
        <x:v>55.931923441572835</x:v>
      </x:c>
      <x:c r="E21" s="9" t="n">
        <x:f>'Расчет'!AE10</x:f>
        <x:v>68.29840133472892</x:v>
      </x:c>
      <x:c r="F21" s="9" t="n">
        <x:f>'Расчет'!AF10</x:f>
        <x:v>57.65271222290655</x:v>
      </x:c>
      <x:c r="G21" s="9" t="n">
        <x:f>'Расчет'!AG10</x:f>
        <x:v>41.55227140814095</x:v>
      </x:c>
      <x:c r="H21" s="9" t="n">
        <x:f>'Расчет'!AH10</x:f>
        <x:v>33.88930570326436</x:v>
      </x:c>
      <x:c r="I21" s="9" t="n">
        <x:f>'Расчет'!AI10</x:f>
        <x:v>50</x:v>
      </x:c>
      <x:c r="J21" s="9" t="n">
        <x:f>'Расчет'!AL10</x:f>
        <x:v>50</x:v>
      </x:c>
      <x:c r="K21" s="2" t="str">
        <x:f>IF(D21&gt;=70,"Высокий потенциал",IF(D21&gt;=55,"Выше среднего",IF(D21&gt;=40,"Средний","Низкий по текущим данным")))</x:f>
        <x:v>Выше среднего</x:v>
      </x:c>
    </x:row>
    <x:row r="22">
      <x:c r="A22" s="10" t="n">
        <x:f>'Расчет'!AK11</x:f>
        <x:v>8</x:v>
      </x:c>
      <x:c r="B22" s="2" t="str">
        <x:f>'Расчет'!B11</x:f>
        <x:v>Шерегеш</x:v>
      </x:c>
      <x:c r="C22" s="2" t="str">
        <x:f>'Расчет'!C11</x:f>
        <x:v>Кемеровская область</x:v>
      </x:c>
      <x:c r="D22" s="9" t="n">
        <x:f>'Расчет'!AJ11</x:f>
        <x:v>55.657060809943815</x:v>
      </x:c>
      <x:c r="E22" s="9" t="n">
        <x:f>'Расчет'!AE11</x:f>
        <x:v>38.652700584472825</x:v>
      </x:c>
      <x:c r="F22" s="9" t="n">
        <x:f>'Расчет'!AF11</x:f>
        <x:v>83.6242208978385</x:v>
      </x:c>
      <x:c r="G22" s="9" t="n">
        <x:f>'Расчет'!AG11</x:f>
        <x:v>71.54213845485219</x:v>
      </x:c>
      <x:c r="H22" s="9" t="n">
        <x:f>'Расчет'!AH11</x:f>
        <x:v>24.81497660724621</x:v>
      </x:c>
      <x:c r="I22" s="9" t="n">
        <x:f>'Расчет'!AI11</x:f>
        <x:v>50</x:v>
      </x:c>
      <x:c r="J22" s="9" t="n">
        <x:f>'Расчет'!AL11</x:f>
        <x:v>75</x:v>
      </x:c>
      <x:c r="K22" s="2" t="str">
        <x:f>IF(D22&gt;=70,"Высокий потенциал",IF(D22&gt;=55,"Выше среднего",IF(D22&gt;=40,"Средний","Низкий по текущим данным")))</x:f>
        <x:v>Выше среднего</x:v>
      </x:c>
    </x:row>
    <x:row r="23">
      <x:c r="A23" s="10" t="n">
        <x:f>'Расчет'!AK12</x:f>
        <x:v>9</x:v>
      </x:c>
      <x:c r="B23" s="2" t="str">
        <x:f>'Расчет'!B12</x:f>
        <x:v>Горный воздух</x:v>
      </x:c>
      <x:c r="C23" s="2" t="str">
        <x:f>'Расчет'!C12</x:f>
        <x:v>Сахалинская область</x:v>
      </x:c>
      <x:c r="D23" s="9" t="n">
        <x:f>'Расчет'!AJ12</x:f>
        <x:v>52.78671763022011</x:v>
      </x:c>
      <x:c r="E23" s="9" t="n">
        <x:f>'Расчет'!AE12</x:f>
        <x:v>35.35566680803981</x:v>
      </x:c>
      <x:c r="F23" s="9" t="n">
        <x:f>'Расчет'!AF12</x:f>
        <x:v>66.87997940078446</x:v>
      </x:c>
      <x:c r="G23" s="9" t="n">
        <x:f>'Расчет'!AG12</x:f>
        <x:v>60.38462813194276</x:v>
      </x:c>
      <x:c r="H23" s="9" t="n">
        <x:f>'Расчет'!AH12</x:f>
        <x:v>73.47530430419513</x:v>
      </x:c>
      <x:c r="I23" s="9" t="n">
        <x:f>'Расчет'!AI12</x:f>
        <x:v>50</x:v>
      </x:c>
      <x:c r="J23" s="9" t="n">
        <x:f>'Расчет'!AL12</x:f>
        <x:v>45.45454545454545</x:v>
      </x:c>
      <x:c r="K23" s="2" t="str">
        <x:f>IF(D23&gt;=70,"Высокий потенциал",IF(D23&gt;=55,"Выше среднего",IF(D23&gt;=40,"Средний","Низкий по текущим данным")))</x:f>
        <x:v>Средний</x:v>
      </x:c>
    </x:row>
    <x:row r="24">
      <x:c r="A24" s="10" t="n">
        <x:f>'Расчет'!AK13</x:f>
        <x:v>10</x:v>
      </x:c>
      <x:c r="B24" s="2" t="str">
        <x:f>'Расчет'!B13</x:f>
        <x:v>Бобровый лог</x:v>
      </x:c>
      <x:c r="C24" s="2" t="str">
        <x:f>'Расчет'!C13</x:f>
        <x:v>Красноярский край</x:v>
      </x:c>
      <x:c r="D24" s="9" t="n">
        <x:f>'Расчет'!AJ13</x:f>
        <x:v>51.09204076267836</x:v>
      </x:c>
      <x:c r="E24" s="9" t="n">
        <x:f>'Расчет'!AE13</x:f>
        <x:v>46.687397135456536</x:v>
      </x:c>
      <x:c r="F24" s="9" t="n">
        <x:f>'Расчет'!AF13</x:f>
        <x:v>58.612318309481324</x:v>
      </x:c>
      <x:c r="G24" s="9" t="n">
        <x:f>'Расчет'!AG13</x:f>
        <x:v>47.99694834558407</x:v>
      </x:c>
      <x:c r="H24" s="9" t="n">
        <x:f>'Расчет'!AH13</x:f>
        <x:v>56.646126620086</x:v>
      </x:c>
      <x:c r="I24" s="9" t="n">
        <x:f>'Расчет'!AI13</x:f>
        <x:v>50</x:v>
      </x:c>
      <x:c r="J24" s="9" t="n">
        <x:f>'Расчет'!AL13</x:f>
        <x:v>45.45454545454545</x:v>
      </x:c>
      <x:c r="K24" s="2" t="str">
        <x:f>IF(D24&gt;=70,"Высокий потенциал",IF(D24&gt;=55,"Выше среднего",IF(D24&gt;=40,"Средний","Низкий по текущим данным")))</x:f>
        <x:v>Средний</x:v>
      </x:c>
    </x:row>
    <x:row r="25">
      <x:c r="A25" s="10" t="n">
        <x:f>'Расчет'!AK14</x:f>
        <x:v>11</x:v>
      </x:c>
      <x:c r="B25" s="2" t="str">
        <x:f>'Расчет'!B14</x:f>
        <x:v>Губаха</x:v>
      </x:c>
      <x:c r="C25" s="2" t="str">
        <x:f>'Расчет'!C14</x:f>
        <x:v>Пермский край</x:v>
      </x:c>
      <x:c r="D25" s="9" t="n">
        <x:f>'Расчет'!AJ14</x:f>
        <x:v>50.689746044900446</x:v>
      </x:c>
      <x:c r="E25" s="9" t="n">
        <x:f>'Расчет'!AE14</x:f>
        <x:v>43.05763448491906</x:v>
      </x:c>
      <x:c r="F25" s="9" t="n">
        <x:f>'Расчет'!AF14</x:f>
        <x:v>53.90586963031499</x:v>
      </x:c>
      <x:c r="G25" s="9" t="n">
        <x:f>'Расчет'!AG14</x:f>
        <x:v>76.36590624199403</x:v>
      </x:c>
      <x:c r="H25" s="9" t="n">
        <x:f>'Расчет'!AH14</x:f>
        <x:v>22.170435949552743</x:v>
      </x:c>
      <x:c r="I25" s="9" t="n">
        <x:f>'Расчет'!AI14</x:f>
        <x:v>50</x:v>
      </x:c>
      <x:c r="J25" s="9" t="n">
        <x:f>'Расчет'!AL14</x:f>
        <x:v>45.45454545454545</x:v>
      </x:c>
      <x:c r="K25" s="2" t="str">
        <x:f>IF(D25&gt;=70,"Высокий потенциал",IF(D25&gt;=55,"Выше среднего",IF(D25&gt;=40,"Средний","Низкий по текущим данным")))</x:f>
        <x:v>Средний</x:v>
      </x:c>
    </x:row>
    <x:row r="26">
      <x:c r="A26" s="10" t="n">
        <x:f>'Расчет'!AK15</x:f>
        <x:v>12</x:v>
      </x:c>
      <x:c r="B26" s="2" t="str">
        <x:f>'Расчет'!B15</x:f>
        <x:v>Эльбрус</x:v>
      </x:c>
      <x:c r="C26" s="2" t="str">
        <x:f>'Расчет'!C15</x:f>
        <x:v>Кабардино-Балкарская Республика</x:v>
      </x:c>
      <x:c r="D26" s="9" t="n">
        <x:f>'Расчет'!AJ15</x:f>
        <x:v>49.01722006337561</x:v>
      </x:c>
      <x:c r="E26" s="9" t="n">
        <x:f>'Расчет'!AE15</x:f>
        <x:v>23.76683805850977</x:v>
      </x:c>
      <x:c r="F26" s="9" t="n">
        <x:f>'Расчет'!AF15</x:f>
        <x:v>71.50381069376895</x:v>
      </x:c>
      <x:c r="G26" s="9" t="n">
        <x:f>'Расчет'!AG15</x:f>
        <x:v>80.68208869735761</x:v>
      </x:c>
      <x:c r="H26" s="9" t="n">
        <x:f>'Расчет'!AH15</x:f>
        <x:v>26.064175044986815</x:v>
      </x:c>
      <x:c r="I26" s="9" t="n">
        <x:f>'Расчет'!AI15</x:f>
        <x:v>57.833938451185084</x:v>
      </x:c>
      <x:c r="J26" s="9" t="n">
        <x:f>'Расчет'!AL15</x:f>
        <x:v>75</x:v>
      </x:c>
      <x:c r="K26" s="2" t="str">
        <x:f>IF(D26&gt;=70,"Высокий потенциал",IF(D26&gt;=55,"Выше среднего",IF(D26&gt;=40,"Средний","Низкий по текущим данным")))</x:f>
        <x:v>Средний</x:v>
      </x:c>
    </x:row>
    <x:row r="27">
      <x:c r="A27" s="10" t="n">
        <x:f>'Расчет'!AK16</x:f>
        <x:v>13</x:v>
      </x:c>
      <x:c r="B27" s="2" t="str">
        <x:f>'Расчет'!B16</x:f>
        <x:v>Морозная гора</x:v>
      </x:c>
      <x:c r="C27" s="2" t="str">
        <x:f>'Расчет'!C16</x:f>
        <x:v>Камчатский край</x:v>
      </x:c>
      <x:c r="D27" s="9" t="n">
        <x:f>'Расчет'!AJ16</x:f>
        <x:v>48.856709106599794</x:v>
      </x:c>
      <x:c r="E27" s="9" t="n">
        <x:f>'Расчет'!AE16</x:f>
        <x:v>39.548292870277386</x:v>
      </x:c>
      <x:c r="F27" s="9" t="n">
        <x:f>'Расчет'!AF16</x:f>
        <x:v>18.20644934356645</x:v>
      </x:c>
      <x:c r="G27" s="9" t="n">
        <x:f>'Расчет'!AG16</x:f>
        <x:v>81.72008853407513</x:v>
      </x:c>
      <x:c r="H27" s="9" t="n">
        <x:f>'Расчет'!AH16</x:f>
        <x:v>96.41761915782199</x:v>
      </x:c>
      <x:c r="I27" s="9" t="n">
        <x:f>'Расчет'!AI16</x:f>
        <x:v>50</x:v>
      </x:c>
      <x:c r="J27" s="9" t="n">
        <x:f>'Расчет'!AL16</x:f>
        <x:v>45.45454545454545</x:v>
      </x:c>
      <x:c r="K27" s="2" t="str">
        <x:f>IF(D27&gt;=70,"Высокий потенциал",IF(D27&gt;=55,"Выше среднего",IF(D27&gt;=40,"Средний","Низкий по текущим данным")))</x:f>
        <x:v>Средний</x:v>
      </x:c>
    </x:row>
    <x:row r="28">
      <x:c r="A28" s="10" t="n">
        <x:f>'Расчет'!AK17</x:f>
        <x:v>14</x:v>
      </x:c>
      <x:c r="B28" s="2" t="str">
        <x:f>'Расчет'!B17</x:f>
        <x:v>Большой Вудъявр</x:v>
      </x:c>
      <x:c r="C28" s="2" t="str">
        <x:f>'Расчет'!C17</x:f>
        <x:v>Мурманская область</x:v>
      </x:c>
      <x:c r="D28" s="9" t="n">
        <x:f>'Расчет'!AJ17</x:f>
        <x:v>48.22448968763517</x:v>
      </x:c>
      <x:c r="E28" s="9" t="n">
        <x:f>'Расчет'!AE17</x:f>
        <x:v>25.836930534639798</x:v>
      </x:c>
      <x:c r="F28" s="9" t="n">
        <x:f>'Расчет'!AF17</x:f>
        <x:v>60.454970400439635</x:v>
      </x:c>
      <x:c r="G28" s="9" t="n">
        <x:f>'Расчет'!AG17</x:f>
        <x:v>79.90042613230926</x:v>
      </x:c>
      <x:c r="H28" s="9" t="n">
        <x:f>'Расчет'!AH17</x:f>
        <x:v>25.02831441492402</x:v>
      </x:c>
      <x:c r="I28" s="9" t="n">
        <x:f>'Расчет'!AI17</x:f>
        <x:v>85.86116411430181</x:v>
      </x:c>
      <x:c r="J28" s="9" t="n">
        <x:f>'Расчет'!AL17</x:f>
        <x:v>70.45454545454545</x:v>
      </x:c>
      <x:c r="K28" s="2" t="str">
        <x:f>IF(D28&gt;=70,"Высокий потенциал",IF(D28&gt;=55,"Выше среднего",IF(D28&gt;=40,"Средний","Низкий по текущим данным")))</x:f>
        <x:v>Средний</x:v>
      </x:c>
    </x:row>
    <x:row r="29">
      <x:c r="A29" s="10" t="n">
        <x:f>'Расчет'!AK18</x:f>
        <x:v>15</x:v>
      </x:c>
      <x:c r="B29" s="2" t="str">
        <x:f>'Расчет'!B18</x:f>
        <x:v>Чегет</x:v>
      </x:c>
      <x:c r="C29" s="2" t="str">
        <x:f>'Расчет'!C18</x:f>
        <x:v>Кабардино-Балкарская Республика</x:v>
      </x:c>
      <x:c r="D29" s="9" t="n">
        <x:f>'Расчет'!AJ18</x:f>
        <x:v>47.64539107167097</x:v>
      </x:c>
      <x:c r="E29" s="9" t="n">
        <x:f>'Расчет'!AE18</x:f>
        <x:v>23.76683805850977</x:v>
      </x:c>
      <x:c r="F29" s="9" t="n">
        <x:f>'Расчет'!AF18</x:f>
        <x:v>67.5830153154487</x:v>
      </x:c>
      <x:c r="G29" s="9" t="n">
        <x:f>'Расчет'!AG18</x:f>
        <x:v>80.79732557315785</x:v>
      </x:c>
      <x:c r="H29" s="9" t="n">
        <x:f>'Расчет'!AH18</x:f>
        <x:v>25.834369047733286</x:v>
      </x:c>
      <x:c r="I29" s="9" t="n">
        <x:f>'Расчет'!AI18</x:f>
        <x:v>50</x:v>
      </x:c>
      <x:c r="J29" s="9" t="n">
        <x:f>'Расчет'!AL18</x:f>
        <x:v>50</x:v>
      </x:c>
      <x:c r="K29" s="2" t="str">
        <x:f>IF(D29&gt;=70,"Высокий потенциал",IF(D29&gt;=55,"Выше среднего",IF(D29&gt;=40,"Средний","Низкий по текущим данным")))</x:f>
        <x:v>Средний</x:v>
      </x:c>
    </x:row>
    <x:row r="30">
      <x:c r="A30" s="10" t="n">
        <x:f>'Расчет'!AK19</x:f>
        <x:v>16</x:v>
      </x:c>
      <x:c r="B30" s="2" t="str">
        <x:f>'Расчет'!B19</x:f>
        <x:v>Аджигардак</x:v>
      </x:c>
      <x:c r="C30" s="2" t="str">
        <x:f>'Расчет'!C19</x:f>
        <x:v>Челябинская область</x:v>
      </x:c>
      <x:c r="D30" s="9" t="n">
        <x:f>'Расчет'!AJ19</x:f>
        <x:v>46.968474760412164</x:v>
      </x:c>
      <x:c r="E30" s="9" t="n">
        <x:f>'Расчет'!AE19</x:f>
        <x:v>49.72008434800724</x:v>
      </x:c>
      <x:c r="F30" s="9" t="n">
        <x:f>'Расчет'!AF19</x:f>
        <x:v>42.76139625385136</x:v>
      </x:c>
      <x:c r="G30" s="9" t="n">
        <x:f>'Расчет'!AG19</x:f>
        <x:v>56.6384141498281</x:v>
      </x:c>
      <x:c r="H30" s="9" t="n">
        <x:f>'Расчет'!AH19</x:f>
        <x:v>25.624091277808013</x:v>
      </x:c>
      <x:c r="I30" s="9" t="n">
        <x:f>'Расчет'!AI19</x:f>
        <x:v>50</x:v>
      </x:c>
      <x:c r="J30" s="9" t="n">
        <x:f>'Расчет'!AL19</x:f>
        <x:v>45.45454545454545</x:v>
      </x:c>
      <x:c r="K30" s="2" t="str">
        <x:f>IF(D30&gt;=70,"Высокий потенциал",IF(D30&gt;=55,"Выше среднего",IF(D30&gt;=40,"Средний","Низкий по текущим данным")))</x:f>
        <x:v>Средний</x:v>
      </x:c>
    </x:row>
    <x:row r="31">
      <x:c r="A31" s="10" t="n">
        <x:f>'Расчет'!AK20</x:f>
        <x:v>17</x:v>
      </x:c>
      <x:c r="B31" s="2" t="str">
        <x:f>'Расчет'!B20</x:f>
        <x:v>КолаСпортЛэнд</x:v>
      </x:c>
      <x:c r="C31" s="2" t="str">
        <x:f>'Расчет'!C20</x:f>
        <x:v>Мурманская область</x:v>
      </x:c>
      <x:c r="D31" s="9" t="n">
        <x:f>'Расчет'!AJ20</x:f>
        <x:v>45.713792383386014</x:v>
      </x:c>
      <x:c r="E31" s="9" t="n">
        <x:f>'Расчет'!AE20</x:f>
        <x:v>25.836930534639798</x:v>
      </x:c>
      <x:c r="F31" s="9" t="n">
        <x:f>'Расчет'!AF20</x:f>
        <x:v>58.84742543877307</x:v>
      </x:c>
      <x:c r="G31" s="9" t="n">
        <x:f>'Расчет'!AG20</x:f>
        <x:v>78.51758362270618</x:v>
      </x:c>
      <x:c r="H31" s="9" t="n">
        <x:f>'Расчет'!AH20</x:f>
        <x:v>24.636470852955966</x:v>
      </x:c>
      <x:c r="I31" s="9" t="n">
        <x:f>'Расчет'!AI20</x:f>
        <x:v>50</x:v>
      </x:c>
      <x:c r="J31" s="9" t="n">
        <x:f>'Расчет'!AL20</x:f>
        <x:v>45.45454545454545</x:v>
      </x:c>
      <x:c r="K31" s="2" t="str">
        <x:f>IF(D31&gt;=70,"Высокий потенциал",IF(D31&gt;=55,"Выше среднего",IF(D31&gt;=40,"Средний","Низкий по текущим данным")))</x:f>
        <x:v>Средний</x:v>
      </x:c>
    </x:row>
    <x:row r="32">
      <x:c r="A32" s="10" t="n">
        <x:f>'Расчет'!AK21</x:f>
        <x:v>18</x:v>
      </x:c>
      <x:c r="B32" s="2" t="str">
        <x:f>'Расчет'!B21</x:f>
        <x:v>Соболиная гора</x:v>
      </x:c>
      <x:c r="C32" s="2" t="str">
        <x:f>'Расчет'!C21</x:f>
        <x:v>Иркутская область</x:v>
      </x:c>
      <x:c r="D32" s="9" t="n">
        <x:f>'Расчет'!AJ21</x:f>
        <x:v>45.32295991003026</x:v>
      </x:c>
      <x:c r="E32" s="9" t="n">
        <x:f>'Расчет'!AE21</x:f>
        <x:v>42.19085221824905</x:v>
      </x:c>
      <x:c r="F32" s="9" t="n">
        <x:f>'Расчет'!AF21</x:f>
        <x:v>52.07733494084284</x:v>
      </x:c>
      <x:c r="G32" s="9" t="n">
        <x:f>'Расчет'!AG21</x:f>
        <x:v>49.500549968000364</x:v>
      </x:c>
      <x:c r="H32" s="9" t="n">
        <x:f>'Расчет'!AH21</x:f>
        <x:v>30.271752939198553</x:v>
      </x:c>
      <x:c r="I32" s="9" t="n">
        <x:f>'Расчет'!AI21</x:f>
        <x:v>50</x:v>
      </x:c>
      <x:c r="J32" s="9" t="n">
        <x:f>'Расчет'!AL21</x:f>
        <x:v>45.45454545454545</x:v>
      </x:c>
      <x:c r="K32" s="2" t="str">
        <x:f>IF(D32&gt;=70,"Высокий потенциал",IF(D32&gt;=55,"Выше среднего",IF(D32&gt;=40,"Средний","Низкий по текущим данным")))</x:f>
        <x:v>Средний</x:v>
      </x:c>
    </x:row>
    <x:row r="33">
      <x:c r="A33" s="10" t="n">
        <x:f>'Расчет'!AK22</x:f>
        <x:v>19</x:v>
      </x:c>
      <x:c r="B33" s="2" t="str">
        <x:f>'Расчет'!B22</x:f>
        <x:v>Абзаково</x:v>
      </x:c>
      <x:c r="C33" s="2" t="str">
        <x:f>'Расчет'!C22</x:f>
        <x:v>Республика Башкортостан</x:v>
      </x:c>
      <x:c r="D33" s="9" t="n">
        <x:f>'Расчет'!AJ22</x:f>
        <x:v>45.276811367814105</x:v>
      </x:c>
      <x:c r="E33" s="9" t="n">
        <x:f>'Расчет'!AE22</x:f>
        <x:v>50.45997774407929</x:v>
      </x:c>
      <x:c r="F33" s="9" t="n">
        <x:f>'Расчет'!AF22</x:f>
        <x:v>56.861415413818435</x:v>
      </x:c>
      <x:c r="G33" s="9" t="n">
        <x:f>'Расчет'!AG22</x:f>
        <x:v>23.770328619275084</x:v>
      </x:c>
      <x:c r="H33" s="9" t="n">
        <x:f>'Расчет'!AH22</x:f>
        <x:v>36.23400692872765</x:v>
      </x:c>
      <x:c r="I33" s="9" t="n">
        <x:f>'Расчет'!AI22</x:f>
        <x:v>50</x:v>
      </x:c>
      <x:c r="J33" s="9" t="n">
        <x:f>'Расчет'!AL22</x:f>
        <x:v>45.45454545454545</x:v>
      </x:c>
      <x:c r="K33" s="2" t="str">
        <x:f>IF(D33&gt;=70,"Высокий потенциал",IF(D33&gt;=55,"Выше среднего",IF(D33&gt;=40,"Средний","Низкий по текущим данным")))</x:f>
        <x:v>Средний</x:v>
      </x:c>
    </x:row>
    <x:row r="34">
      <x:c r="A34" s="10" t="n">
        <x:f>'Расчет'!AK23</x:f>
        <x:v>20</x:v>
      </x:c>
      <x:c r="B34" s="2" t="str">
        <x:f>'Расчет'!B23</x:f>
        <x:v>Гора Белая</x:v>
      </x:c>
      <x:c r="C34" s="2" t="str">
        <x:f>'Расчет'!C23</x:f>
        <x:v>Свердловская область</x:v>
      </x:c>
      <x:c r="D34" s="9" t="n">
        <x:f>'Расчет'!AJ23</x:f>
        <x:v>44.22954565615188</x:v>
      </x:c>
      <x:c r="E34" s="9" t="n">
        <x:f>'Расчет'!AE23</x:f>
        <x:v>57.50327832931161</x:v>
      </x:c>
      <x:c r="F34" s="9" t="n">
        <x:f>'Расчет'!AF23</x:f>
        <x:v>31.80732113450715</x:v>
      </x:c>
      <x:c r="G34" s="9" t="n">
        <x:f>'Расчет'!AG23</x:f>
        <x:v>45.95772162975358</x:v>
      </x:c>
      <x:c r="H34" s="9" t="n">
        <x:f>'Расчет'!AH23</x:f>
        <x:v>15.848597148497245</x:v>
      </x:c>
      <x:c r="I34" s="9" t="n">
        <x:f>'Расчет'!AI23</x:f>
        <x:v>50</x:v>
      </x:c>
      <x:c r="J34" s="9" t="n">
        <x:f>'Расчет'!AL23</x:f>
        <x:v>45.45454545454545</x:v>
      </x:c>
      <x:c r="K34" s="2" t="str">
        <x:f>IF(D34&gt;=70,"Высокий потенциал",IF(D34&gt;=55,"Выше среднего",IF(D34&gt;=40,"Средний","Низкий по текущим данным")))</x:f>
        <x:v>Средний</x:v>
      </x:c>
    </x:row>
    <x:row r="35">
      <x:c r="A35" s="10" t="n">
        <x:f>'Расчет'!AK24</x:f>
        <x:v>21</x:v>
      </x:c>
      <x:c r="B35" s="2" t="str">
        <x:f>'Расчет'!B24</x:f>
        <x:v>Мраткино</x:v>
      </x:c>
      <x:c r="C35" s="2" t="str">
        <x:f>'Расчет'!C24</x:f>
        <x:v>Республика Башкортостан</x:v>
      </x:c>
      <x:c r="D35" s="9" t="n">
        <x:f>'Расчет'!AJ24</x:f>
        <x:v>43.81761247209124</x:v>
      </x:c>
      <x:c r="E35" s="9" t="n">
        <x:f>'Расчет'!AE24</x:f>
        <x:v>50.45997774407929</x:v>
      </x:c>
      <x:c r="F35" s="9" t="n">
        <x:f>'Расчет'!AF24</x:f>
        <x:v>43.71901302334452</x:v>
      </x:c>
      <x:c r="G35" s="9" t="n">
        <x:f>'Расчет'!AG24</x:f>
        <x:v>34.13570030025851</x:v>
      </x:c>
      <x:c r="H35" s="9" t="n">
        <x:f>'Расчет'!AH24</x:f>
        <x:v>33.7672805857169</x:v>
      </x:c>
      <x:c r="I35" s="9" t="n">
        <x:f>'Расчет'!AI24</x:f>
        <x:v>50</x:v>
      </x:c>
      <x:c r="J35" s="9" t="n">
        <x:f>'Расчет'!AL24</x:f>
        <x:v>45.45454545454545</x:v>
      </x:c>
      <x:c r="K35" s="2" t="str">
        <x:f>IF(D35&gt;=70,"Высокий потенциал",IF(D35&gt;=55,"Выше среднего",IF(D35&gt;=40,"Средний","Низкий по текущим данным")))</x:f>
        <x:v>Средний</x:v>
      </x:c>
    </x:row>
    <x:row r="36">
      <x:c r="A36" s="10" t="n">
        <x:f>'Расчет'!AK25</x:f>
        <x:v>22</x:v>
      </x:c>
      <x:c r="B36" s="2" t="str">
        <x:f>'Расчет'!B25</x:f>
        <x:v>Солнечная долина</x:v>
      </x:c>
      <x:c r="C36" s="2" t="str">
        <x:f>'Расчет'!C25</x:f>
        <x:v>Челябинская область</x:v>
      </x:c>
      <x:c r="D36" s="9" t="n">
        <x:f>'Расчет'!AJ25</x:f>
        <x:v>42.08897769553246</x:v>
      </x:c>
      <x:c r="E36" s="9" t="n">
        <x:f>'Расчет'!AE25</x:f>
        <x:v>49.72008434800724</x:v>
      </x:c>
      <x:c r="F36" s="9" t="n">
        <x:f>'Расчет'!AF25</x:f>
        <x:v>52.07208762570184</x:v>
      </x:c>
      <x:c r="G36" s="9" t="n">
        <x:f>'Расчет'!AG25</x:f>
        <x:v>21.497702794305944</x:v>
      </x:c>
      <x:c r="H36" s="9" t="n">
        <x:f>'Расчет'!AH25</x:f>
        <x:v>23.83381491042915</x:v>
      </x:c>
      <x:c r="I36" s="9" t="n">
        <x:f>'Расчет'!AI25</x:f>
        <x:v>50</x:v>
      </x:c>
      <x:c r="J36" s="9" t="n">
        <x:f>'Расчет'!AL25</x:f>
        <x:v>45.45454545454545</x:v>
      </x:c>
      <x:c r="K36" s="2" t="str">
        <x:f>IF(D36&gt;=70,"Высокий потенциал",IF(D36&gt;=55,"Выше среднего",IF(D36&gt;=40,"Средний","Низкий по текущим данным")))</x:f>
        <x:v>Средний</x:v>
      </x:c>
    </x:row>
    <x:row r="37">
      <x:c r="A37" s="10" t="n">
        <x:f>'Расчет'!AK26</x:f>
        <x:v>23</x:v>
      </x:c>
      <x:c r="B37" s="2" t="str">
        <x:f>'Расчет'!B26</x:f>
        <x:v>Красная Глинка</x:v>
      </x:c>
      <x:c r="C37" s="2" t="str">
        <x:f>'Расчет'!C26</x:f>
        <x:v>Самарская область</x:v>
      </x:c>
      <x:c r="D37" s="9" t="n">
        <x:f>'Расчет'!AJ26</x:f>
        <x:v>42.05630339874502</x:v>
      </x:c>
      <x:c r="E37" s="9" t="n">
        <x:f>'Расчет'!AE26</x:f>
        <x:v>40.29809451241382</x:v>
      </x:c>
      <x:c r="F37" s="9" t="n">
        <x:f>'Расчет'!AF26</x:f>
        <x:v>48.35471960330486</x:v>
      </x:c>
      <x:c r="G37" s="9" t="n">
        <x:f>'Расчет'!AG26</x:f>
        <x:v>25.57980921495973</x:v>
      </x:c>
      <x:c r="H37" s="9" t="n">
        <x:f>'Расчет'!AH26</x:f>
        <x:v>62.32423849961339</x:v>
      </x:c>
      <x:c r="I37" s="9" t="n">
        <x:f>'Расчет'!AI26</x:f>
        <x:v>50</x:v>
      </x:c>
      <x:c r="J37" s="9" t="n">
        <x:f>'Расчет'!AL26</x:f>
        <x:v>50</x:v>
      </x:c>
      <x:c r="K37" s="2" t="str">
        <x:f>IF(D37&gt;=70,"Высокий потенциал",IF(D37&gt;=55,"Выше среднего",IF(D37&gt;=40,"Средний","Низкий по текущим данным")))</x:f>
        <x:v>Средний</x:v>
      </x:c>
    </x:row>
    <x:row r="38">
      <x:c r="A38" s="10" t="n">
        <x:f>'Расчет'!AK27</x:f>
        <x:v>24</x:v>
      </x:c>
      <x:c r="B38" s="2" t="str">
        <x:f>'Расчет'!B27</x:f>
        <x:v>Кукисвумчорр</x:v>
      </x:c>
      <x:c r="C38" s="2" t="str">
        <x:f>'Расчет'!C27</x:f>
        <x:v>Мурманская область</x:v>
      </x:c>
      <x:c r="D38" s="9" t="n">
        <x:f>'Расчет'!AJ27</x:f>
        <x:v>41.323426997502374</x:v>
      </x:c>
      <x:c r="E38" s="9" t="n">
        <x:f>'Расчет'!AE27</x:f>
        <x:v>25.836930534639798</x:v>
      </x:c>
      <x:c r="F38" s="9" t="n">
        <x:f>'Расчет'!AF27</x:f>
        <x:v>39.82556640677248</x:v>
      </x:c>
      <x:c r="G38" s="9" t="n">
        <x:f>'Расчет'!AG27</x:f>
        <x:v>81.46301455866829</x:v>
      </x:c>
      <x:c r="H38" s="9" t="n">
        <x:f>'Расчет'!AH27</x:f>
        <x:v>22.39660270219678</x:v>
      </x:c>
      <x:c r="I38" s="9" t="n">
        <x:f>'Расчет'!AI27</x:f>
        <x:v>50</x:v>
      </x:c>
      <x:c r="J38" s="9" t="n">
        <x:f>'Расчет'!AL27</x:f>
        <x:v>45.45454545454545</x:v>
      </x:c>
      <x:c r="K38" s="2" t="str">
        <x:f>IF(D38&gt;=70,"Высокий потенциал",IF(D38&gt;=55,"Выше среднего",IF(D38&gt;=40,"Средний","Низкий по текущим данным")))</x:f>
        <x:v>Средний</x:v>
      </x:c>
    </x:row>
    <x:row r="39">
      <x:c r="A39" s="10" t="n">
        <x:f>'Расчет'!AK28</x:f>
        <x:v>25</x:v>
      </x:c>
      <x:c r="B39" s="2" t="str">
        <x:f>'Расчет'!B28</x:f>
        <x:v>Манжерок</x:v>
      </x:c>
      <x:c r="C39" s="2" t="str">
        <x:f>'Расчет'!C28</x:f>
        <x:v>Республика Алтай</x:v>
      </x:c>
      <x:c r="D39" s="9" t="n">
        <x:f>'Расчет'!AJ28</x:f>
        <x:v>39.59186100232611</x:v>
      </x:c>
      <x:c r="E39" s="9" t="n">
        <x:f>'Расчет'!AE28</x:f>
        <x:v>26.981672387987096</x:v>
      </x:c>
      <x:c r="F39" s="9" t="n">
        <x:f>'Расчет'!AF28</x:f>
        <x:v>68.03156158662371</x:v>
      </x:c>
      <x:c r="G39" s="9" t="n">
        <x:f>'Расчет'!AG28</x:f>
        <x:v>44.18233788063827</x:v>
      </x:c>
      <x:c r="H39" s="9" t="n">
        <x:f>'Расчет'!AH28</x:f>
        <x:v>4.5483407434769125</x:v>
      </x:c>
      <x:c r="I39" s="9" t="n">
        <x:f>'Расчет'!AI28</x:f>
        <x:v>50</x:v>
      </x:c>
      <x:c r="J39" s="9" t="n">
        <x:f>'Расчет'!AL28</x:f>
        <x:v>45.45454545454545</x:v>
      </x:c>
      <x:c r="K39" s="2" t="str">
        <x:f>IF(D39&gt;=70,"Высокий потенциал",IF(D39&gt;=55,"Выше среднего",IF(D39&gt;=40,"Средний","Низкий по текущим данным")))</x:f>
        <x:v>Низкий по текущим данным</x:v>
      </x:c>
    </x:row>
    <x:row r="40">
      <x:c r="A40" s="10" t="n">
        <x:f>'Расчет'!AK29</x:f>
        <x:v>26</x:v>
      </x:c>
      <x:c r="B40" s="2" t="str">
        <x:f>'Расчет'!B29</x:f>
        <x:v>Завьялиха</x:v>
      </x:c>
      <x:c r="C40" s="2" t="str">
        <x:f>'Расчет'!C29</x:f>
        <x:v>Челябинская область</x:v>
      </x:c>
      <x:c r="D40" s="9" t="n">
        <x:f>'Расчет'!AJ29</x:f>
        <x:v>39.000416719956775</x:v>
      </x:c>
      <x:c r="E40" s="9" t="n">
        <x:f>'Расчет'!AE29</x:f>
        <x:v>49.72008434800724</x:v>
      </x:c>
      <x:c r="F40" s="9" t="n">
        <x:f>'Расчет'!AF29</x:f>
        <x:v>25.047033418716037</x:v>
      </x:c>
      <x:c r="G40" s="9" t="n">
        <x:f>'Расчет'!AG29</x:f>
        <x:v>48.407103338898736</x:v>
      </x:c>
      <x:c r="H40" s="9" t="n">
        <x:f>'Расчет'!AH29</x:f>
        <x:v>6.692039582951191</x:v>
      </x:c>
      <x:c r="I40" s="9" t="n">
        <x:f>'Расчет'!AI29</x:f>
        <x:v>50</x:v>
      </x:c>
      <x:c r="J40" s="9" t="n">
        <x:f>'Расчет'!AL29</x:f>
        <x:v>45.45454545454545</x:v>
      </x:c>
      <x:c r="K40" s="2" t="str">
        <x:f>IF(D40&gt;=70,"Высокий потенциал",IF(D40&gt;=55,"Выше среднего",IF(D40&gt;=40,"Средний","Низкий по текущим данным")))</x:f>
        <x:v>Низкий по текущим данным</x:v>
      </x:c>
    </x:row>
    <x:row r="41">
      <x:c r="A41" s="10" t="n">
        <x:f>'Расчет'!AK30</x:f>
        <x:v>27</x:v>
      </x:c>
      <x:c r="B41" s="2" t="str">
        <x:f>'Расчет'!B30</x:f>
        <x:v>Евразия</x:v>
      </x:c>
      <x:c r="C41" s="2" t="str">
        <x:f>'Расчет'!C30</x:f>
        <x:v>Челябинская область</x:v>
      </x:c>
      <x:c r="D41" s="9" t="n">
        <x:f>'Расчет'!AJ30</x:f>
        <x:v>38.46624460307893</x:v>
      </x:c>
      <x:c r="E41" s="9" t="n">
        <x:f>'Расчет'!AE30</x:f>
        <x:v>49.72008434800724</x:v>
      </x:c>
      <x:c r="F41" s="9" t="n">
        <x:f>'Расчет'!AF30</x:f>
        <x:v>25.851607181381112</x:v>
      </x:c>
      <x:c r="G41" s="9" t="n">
        <x:f>'Расчет'!AG30</x:f>
        <x:v>27.440298180629668</x:v>
      </x:c>
      <x:c r="H41" s="9" t="n">
        <x:f>'Расчет'!AH30</x:f>
        <x:v>23.19156074555247</x:v>
      </x:c>
      <x:c r="I41" s="9" t="n">
        <x:f>'Расчет'!AI30</x:f>
        <x:v>86.16186715699138</x:v>
      </x:c>
      <x:c r="J41" s="9" t="n">
        <x:f>'Расчет'!AL30</x:f>
        <x:v>70.45454545454545</x:v>
      </x:c>
      <x:c r="K41" s="2" t="str">
        <x:f>IF(D41&gt;=70,"Высокий потенциал",IF(D41&gt;=55,"Выше среднего",IF(D41&gt;=40,"Средний","Низкий по текущим данным")))</x:f>
        <x:v>Низкий по текущим данным</x:v>
      </x:c>
    </x:row>
    <x:row r="42">
      <x:c r="A42" s="10" t="n">
        <x:f>'Расчет'!AK31</x:f>
        <x:v>28</x:v>
      </x:c>
      <x:c r="B42" s="2" t="str">
        <x:f>'Расчет'!B31</x:f>
        <x:v>Телецкий</x:v>
      </x:c>
      <x:c r="C42" s="2" t="str">
        <x:f>'Расчет'!C31</x:f>
        <x:v>Республика Алтай</x:v>
      </x:c>
      <x:c r="D42" s="9" t="n">
        <x:f>'Расчет'!AJ31</x:f>
        <x:v>37.79514077259872</x:v>
      </x:c>
      <x:c r="E42" s="9" t="n">
        <x:f>'Расчет'!AE31</x:f>
        <x:v>26.981672387987096</x:v>
      </x:c>
      <x:c r="F42" s="9" t="n">
        <x:f>'Расчет'!AF31</x:f>
        <x:v>43.44605097614769</x:v>
      </x:c>
      <x:c r="G42" s="9" t="n">
        <x:f>'Расчет'!AG31</x:f>
        <x:v>64.92741947451064</x:v>
      </x:c>
      <x:c r="H42" s="9" t="n">
        <x:f>'Расчет'!AH31</x:f>
        <x:v>6.554751784648344</x:v>
      </x:c>
      <x:c r="I42" s="9" t="n">
        <x:f>'Расчет'!AI31</x:f>
        <x:v>50</x:v>
      </x:c>
      <x:c r="J42" s="9" t="n">
        <x:f>'Расчет'!AL31</x:f>
        <x:v>45.45454545454545</x:v>
      </x:c>
      <x:c r="K42" s="2" t="str">
        <x:f>IF(D42&gt;=70,"Высокий потенциал",IF(D42&gt;=55,"Выше среднего",IF(D42&gt;=40,"Средний","Низкий по текущим данным")))</x:f>
        <x:v>Низкий по текущим данным</x:v>
      </x:c>
    </x:row>
    <x:row r="43">
      <x:c r="A43" s="10" t="n">
        <x:f>'Расчет'!AK32</x:f>
        <x:v>29</x:v>
      </x:c>
      <x:c r="B43" s="2" t="str">
        <x:f>'Расчет'!B32</x:f>
        <x:v>Гладенькая</x:v>
      </x:c>
      <x:c r="C43" s="2" t="str">
        <x:f>'Расчет'!C32</x:f>
        <x:v>Республика Хакасия</x:v>
      </x:c>
      <x:c r="D43" s="9" t="n">
        <x:f>'Расчет'!AJ32</x:f>
        <x:v>36.26415928410326</x:v>
      </x:c>
      <x:c r="E43" s="9" t="n">
        <x:f>'Расчет'!AE32</x:f>
        <x:v>43.28077275118329</x:v>
      </x:c>
      <x:c r="F43" s="9" t="n">
        <x:f>'Расчет'!AF32</x:f>
        <x:v>9.93156411926163</x:v>
      </x:c>
      <x:c r="G43" s="9" t="n">
        <x:f>'Расчет'!AG32</x:f>
        <x:v>40.85234982730507</x:v>
      </x:c>
      <x:c r="H43" s="9" t="n">
        <x:f>'Расчет'!AH32</x:f>
        <x:v>35.328677483178794</x:v>
      </x:c>
      <x:c r="I43" s="9" t="n">
        <x:f>'Расчет'!AI32</x:f>
        <x:v>95.31242880071278</x:v>
      </x:c>
      <x:c r="J43" s="9" t="n">
        <x:f>'Расчет'!AL32</x:f>
        <x:v>75</x:v>
      </x:c>
      <x:c r="K43" s="2" t="str">
        <x:f>IF(D43&gt;=70,"Высокий потенциал",IF(D43&gt;=55,"Выше среднего",IF(D43&gt;=40,"Средний","Низкий по текущим данным")))</x:f>
        <x:v>Низкий по текущим данным</x:v>
      </x:c>
    </x:row>
    <x:row r="44">
      <x:c r="A44" s="10" t="n">
        <x:f>'Расчет'!AK33</x:f>
        <x:v>30</x:v>
      </x:c>
      <x:c r="B44" s="2" t="str">
        <x:f>'Расчет'!B33</x:f>
        <x:v>Мамисон</x:v>
      </x:c>
      <x:c r="C44" s="2" t="str">
        <x:f>'Расчет'!C33</x:f>
        <x:v>Республика Северная Осетия — Алания</x:v>
      </x:c>
      <x:c r="D44" s="9" t="n">
        <x:f>'Расчет'!AJ33</x:f>
        <x:v>31.198867649391882</x:v>
      </x:c>
      <x:c r="E44" s="9" t="n">
        <x:f>'Расчет'!AE33</x:f>
        <x:v>5.768429114316737</x:v>
      </x:c>
      <x:c r="F44" s="9" t="n">
        <x:f>'Расчет'!AF33</x:f>
        <x:v>29.946898534707493</x:v>
      </x:c>
      <x:c r="G44" s="9" t="n">
        <x:f>'Расчет'!AG33</x:f>
        <x:v>73.3093917897774</x:v>
      </x:c>
      <x:c r="H44" s="9" t="n">
        <x:f>'Расчет'!AH33</x:f>
        <x:v>17.428930120328335</x:v>
      </x:c>
      <x:c r="I44" s="9" t="n">
        <x:f>'Расчет'!AI33</x:f>
        <x:v>100</x:v>
      </x:c>
      <x:c r="J44" s="9" t="n">
        <x:f>'Расчет'!AL33</x:f>
        <x:v>75</x:v>
      </x:c>
      <x:c r="K44" s="2" t="str">
        <x:f>IF(D44&gt;=70,"Высокий потенциал",IF(D44&gt;=55,"Выше среднего",IF(D44&gt;=40,"Средний","Низкий по текущим данным")))</x:f>
        <x:v>Низкий по текущим данным</x:v>
      </x:c>
    </x:row>
    <x:row r="45">
      <x:c r="A45" s="10" t="n">
        <x:f>'Расчет'!AK34</x:f>
        <x:v>31</x:v>
      </x:c>
      <x:c r="B45" s="2" t="str">
        <x:f>'Расчет'!B34</x:f>
        <x:v>Цей</x:v>
      </x:c>
      <x:c r="C45" s="2" t="str">
        <x:f>'Расчет'!C34</x:f>
        <x:v>Республика Северная Осетия — Алания</x:v>
      </x:c>
      <x:c r="D45" s="9" t="n">
        <x:f>'Расчет'!AJ34</x:f>
        <x:v>30.53989764254772</x:v>
      </x:c>
      <x:c r="E45" s="9" t="n">
        <x:f>'Расчет'!AE34</x:f>
        <x:v>5.768429114316737</x:v>
      </x:c>
      <x:c r="F45" s="9" t="n">
        <x:f>'Расчет'!AF34</x:f>
        <x:v>32.2117094788391</x:v>
      </x:c>
      <x:c r="G45" s="9" t="n">
        <x:f>'Расчет'!AG34</x:f>
        <x:v>76.00126576814043</x:v>
      </x:c>
      <x:c r="H45" s="9" t="n">
        <x:f>'Расчет'!AH34</x:f>
        <x:v>24.793454734831606</x:v>
      </x:c>
      <x:c r="I45" s="9" t="n">
        <x:f>'Расчет'!AI34</x:f>
        <x:v>50</x:v>
      </x:c>
      <x:c r="J45" s="9" t="n">
        <x:f>'Расчет'!AL34</x:f>
        <x:v>50</x:v>
      </x:c>
      <x:c r="K45" s="2" t="str">
        <x:f>IF(D45&gt;=70,"Высокий потенциал",IF(D45&gt;=55,"Выше среднего",IF(D45&gt;=40,"Средний","Низкий по текущим данным")))</x:f>
        <x:v>Низкий по текущим данным</x:v>
      </x:c>
    </x:row>
    <x:row r="46">
      <x:c r="A46" s="23" t="n">
        <x:f>'Расчет'!AK35</x:f>
        <x:v>32</x:v>
      </x:c>
      <x:c r="B46" s="18" t="str">
        <x:f>'Расчет'!B35</x:f>
        <x:v>Холдоми</x:v>
      </x:c>
      <x:c r="C46" s="18" t="str">
        <x:f>'Расчет'!C35</x:f>
        <x:v>Хабаровский край</x:v>
      </x:c>
      <x:c r="D46" s="24" t="n">
        <x:f>'Расчет'!AJ35</x:f>
        <x:v>26.638284590370894</x:v>
      </x:c>
      <x:c r="E46" s="24" t="n">
        <x:f>'Расчет'!AE35</x:f>
        <x:v>29.494075417003625</x:v>
      </x:c>
      <x:c r="F46" s="24" t="n">
        <x:f>'Расчет'!AF35</x:f>
        <x:v>0</x:v>
      </x:c>
      <x:c r="G46" s="24" t="n">
        <x:f>'Расчет'!AG35</x:f>
        <x:v>46.076252844774615</x:v>
      </x:c>
      <x:c r="H46" s="24" t="n">
        <x:f>'Расчет'!AH35</x:f>
        <x:v>31.25403854614524</x:v>
      </x:c>
      <x:c r="I46" s="24" t="n">
        <x:f>'Расчет'!AI35</x:f>
        <x:v>50</x:v>
      </x:c>
      <x:c r="J46" s="24" t="n">
        <x:f>'Расчет'!AL35</x:f>
        <x:v>45.45454545454545</x:v>
      </x:c>
      <x:c r="K46" s="18" t="str">
        <x:f>IF(D46&gt;=70,"Высокий потенциал",IF(D46&gt;=55,"Выше среднего",IF(D46&gt;=40,"Средний","Низкий по текущим данным")))</x:f>
        <x:v>Низкий по текущим данным</x:v>
      </x:c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6" t="str">
        <x:v>Строки расположены по базовым весам. После изменения весов на листе «Веса» отсортируйте таблицу по столбцу «Место». Региональный турпоток одинаков для всех курортов одного субъекта РФ.</x:v>
      </x:c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</x:row>
  </x:sheetData>
  <x:conditionalFormatting sqref="D15:D46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{2D457580-975E-406A-044C-AD3E0131B05F}</x14:id>
        </x:ext>
      </x:extLst>
    </x:cfRule>
  </x:conditionalFormatting>
  <x:conditionalFormatting sqref="J15:J46">
    <x:cfRule type="colorScale" priority="2">
      <x:colorScale>
        <x:cfvo type="min"/>
        <x:cfvo type="percentile" val="50"/>
        <x:cfvo type="max"/>
        <x:color rgb="FFF7D7D7"/>
        <x:color rgb="FFFCE8C3"/>
        <x:color rgb="FFDDEFE2"/>
      </x:colorScale>
    </x:cfRule>
  </x:conditionalFormatting>
  <x:conditionalFormatting sqref="K15:K46">
    <x:cfRule type="containsText" dxfId="0" priority="3" operator="containsText" text="Высокий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D457580-975E-406A-044C-AD3E0131B05F}">
            <x14:dataBar gradient="0">
              <x14:cfvo type="min"/>
              <x14:cfvo type="max"/>
              <x14:fillColor rgb="FF2F6B9A"/>
            </x14:dataBar>
          </x14:cfRule>
          <xm:sqref>D15:D46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2F6B9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24" hidden="0" customWidth="1"/>
    <x:col min="4" max="4" width="25" hidden="0" customWidth="1"/>
    <x:col min="5" max="5" width="38" hidden="0" customWidth="1"/>
  </x:cols>
  <x:sheetData>
    <x:row r="1">
      <x:c r="A1" s="2"/>
      <x:c r="B1" s="2"/>
      <x:c r="C1" s="2"/>
      <x:c r="D1" s="2"/>
      <x:c r="E1" s="2"/>
    </x:row>
    <x:row r="2" ht="24" customHeight="1">
      <x:c r="A2" s="3" t="str">
        <x:v>Веса и правила нормализации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5" t="str">
        <x:v>Жёлтые ячейки можно менять. Сумма весов должна оставаться равной 100.</x:v>
      </x:c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 ht="34" customHeight="1">
      <x:c r="A6" s="15" t="str">
        <x:v>Компонент</x:v>
      </x:c>
      <x:c r="B6" s="22" t="str">
        <x:v>Вес, п.п.</x:v>
      </x:c>
      <x:c r="C6" s="22" t="str">
        <x:v>Группа</x:v>
      </x:c>
      <x:c r="D6" s="22" t="str">
        <x:v>Нормализация</x:v>
      </x:c>
      <x:c r="E6" s="16" t="str">
        <x:v>Комментарий</x:v>
      </x:c>
    </x:row>
    <x:row r="7">
      <x:c r="A7" s="2" t="str">
        <x:v>Региональный турпоток 2025</x:v>
      </x:c>
      <x:c r="B7" s="28" t="n">
        <x:v>25</x:v>
      </x:c>
      <x:c r="C7" s="2" t="str">
        <x:v>Региональный спрос</x:v>
      </x:c>
      <x:c r="D7" s="20" t="str">
        <x:v>log min-max</x:v>
      </x:c>
      <x:c r="E7" s="20" t="str">
        <x:v>Снижает доминирование крупнейших регионов</x:v>
      </x:c>
    </x:row>
    <x:row r="8">
      <x:c r="A8" s="2" t="str">
        <x:v>Рост турпотока 2025/2024</x:v>
      </x:c>
      <x:c r="B8" s="28" t="n">
        <x:v>10</x:v>
      </x:c>
      <x:c r="C8" s="2" t="str">
        <x:v>Региональный спрос</x:v>
      </x:c>
      <x:c r="D8" s="20" t="str">
        <x:v>-25% → 0; +25% → 100</x:v>
      </x:c>
      <x:c r="E8" s="20" t="str">
        <x:v>Значения за пределами диапазона ограничиваются</x:v>
      </x:c>
    </x:row>
    <x:row r="9">
      <x:c r="A9" s="2" t="str">
        <x:v>Средняя длительность поездки</x:v>
      </x:c>
      <x:c r="B9" s="28" t="n">
        <x:v>5</x:v>
      </x:c>
      <x:c r="C9" s="2" t="str">
        <x:v>Региональный спрос</x:v>
      </x:c>
      <x:c r="D9" s="20" t="str">
        <x:v>1 ночь → 0; 7 ночей → 100</x:v>
      </x:c>
      <x:c r="E9" s="20" t="str">
        <x:v>Ночёвки / поездки</x:v>
      </x:c>
    </x:row>
    <x:row r="10">
      <x:c r="A10" s="2" t="str">
        <x:v>Сегменты трасс OSM</x:v>
      </x:c>
      <x:c r="B10" s="28" t="n">
        <x:v>10</x:v>
      </x:c>
      <x:c r="C10" s="2" t="str">
        <x:v>Инфраструктура</x:v>
      </x:c>
      <x:c r="D10" s="20" t="str">
        <x:v>log min-max</x:v>
      </x:c>
      <x:c r="E10" s="20" t="str">
        <x:v>Прокси полноты и масштаба</x:v>
      </x:c>
    </x:row>
    <x:row r="11">
      <x:c r="A11" s="2" t="str">
        <x:v>Линии подъёмников OSM</x:v>
      </x:c>
      <x:c r="B11" s="28" t="n">
        <x:v>7</x:v>
      </x:c>
      <x:c r="C11" s="2" t="str">
        <x:v>Инфраструктура</x:v>
      </x:c>
      <x:c r="D11" s="20" t="str">
        <x:v>log min-max</x:v>
      </x:c>
      <x:c r="E11" s="20" t="str">
        <x:v>Прокси инфраструктуры</x:v>
      </x:c>
    </x:row>
    <x:row r="12">
      <x:c r="A12" s="2" t="str">
        <x:v>Объекты размещения OSM</x:v>
      </x:c>
      <x:c r="B12" s="28" t="n">
        <x:v>5</x:v>
      </x:c>
      <x:c r="C12" s="2" t="str">
        <x:v>Инфраструктура</x:v>
      </x:c>
      <x:c r="D12" s="20" t="str">
        <x:v>log min-max</x:v>
      </x:c>
      <x:c r="E12" s="20" t="str">
        <x:v>Не официальный номерной фонд</x:v>
      </x:c>
    </x:row>
    <x:row r="13">
      <x:c r="A13" s="2" t="str">
        <x:v>Питание и достопримечательности</x:v>
      </x:c>
      <x:c r="B13" s="28" t="n">
        <x:v>3</x:v>
      </x:c>
      <x:c r="C13" s="2" t="str">
        <x:v>Инфраструктура</x:v>
      </x:c>
      <x:c r="D13" s="20" t="str">
        <x:v>log min-max</x:v>
      </x:c>
      <x:c r="E13" s="20" t="str">
        <x:v>Сумма объектов OSM</x:v>
      </x:c>
    </x:row>
    <x:row r="14">
      <x:c r="A14" s="2" t="str">
        <x:v>Снежные дни</x:v>
      </x:c>
      <x:c r="B14" s="28" t="n">
        <x:v>8</x:v>
      </x:c>
      <x:c r="C14" s="2" t="str">
        <x:v>Зимняя устойчивость</x:v>
      </x:c>
      <x:c r="D14" s="20" t="str">
        <x:v>min-max</x:v>
      </x:c>
      <x:c r="E14" s="20" t="str">
        <x:v>Среднее за сезоны 2021/22–2025/26</x:v>
      </x:c>
    </x:row>
    <x:row r="15">
      <x:c r="A15" s="2" t="str">
        <x:v>Морозные дни</x:v>
      </x:c>
      <x:c r="B15" s="28" t="n">
        <x:v>6</x:v>
      </x:c>
      <x:c r="C15" s="2" t="str">
        <x:v>Зимняя устойчивость</x:v>
      </x:c>
      <x:c r="D15" s="20" t="str">
        <x:v>min-max</x:v>
      </x:c>
      <x:c r="E15" s="20" t="str">
        <x:v>Среднее за сезоны 2021/22–2025/26</x:v>
      </x:c>
    </x:row>
    <x:row r="16">
      <x:c r="A16" s="2" t="str">
        <x:v>Снегопад за сезон</x:v>
      </x:c>
      <x:c r="B16" s="28" t="n">
        <x:v>6</x:v>
      </x:c>
      <x:c r="C16" s="2" t="str">
        <x:v>Зимняя устойчивость</x:v>
      </x:c>
      <x:c r="D16" s="20" t="str">
        <x:v>log min-max</x:v>
      </x:c>
      <x:c r="E16" s="20" t="str">
        <x:v>ERA5 сглаживает горный рельеф</x:v>
      </x:c>
    </x:row>
    <x:row r="17">
      <x:c r="A17" s="2" t="str">
        <x:v>Расстояние до аэропорта</x:v>
      </x:c>
      <x:c r="B17" s="28" t="n">
        <x:v>8</x:v>
      </x:c>
      <x:c r="C17" s="2" t="str">
        <x:v>Доступность</x:v>
      </x:c>
      <x:c r="D17" s="20" t="str">
        <x:v>обратный log min-max</x:v>
      </x:c>
      <x:c r="E17" s="20" t="str">
        <x:v>Меньше расстояние — выше балл</x:v>
      </x:c>
    </x:row>
    <x:row r="18">
      <x:c r="A18" s="2" t="str">
        <x:v>Транспортные объекты OSM</x:v>
      </x:c>
      <x:c r="B18" s="28" t="n">
        <x:v>2</x:v>
      </x:c>
      <x:c r="C18" s="2" t="str">
        <x:v>Доступность</x:v>
      </x:c>
      <x:c r="D18" s="20" t="str">
        <x:v>log min-max</x:v>
      </x:c>
      <x:c r="E18" s="20" t="str">
        <x:v>Прокси локальной связанности</x:v>
      </x:c>
    </x:row>
    <x:row r="19">
      <x:c r="A19" s="18" t="str">
        <x:v>Средняя цена ски-пасса</x:v>
      </x:c>
      <x:c r="B19" s="29" t="n">
        <x:v>5</x:v>
      </x:c>
      <x:c r="C19" s="18" t="str">
        <x:v>Ценовая доступность</x:v>
      </x:c>
      <x:c r="D19" s="21" t="str">
        <x:v>обратный log min-max</x:v>
      </x:c>
      <x:c r="E19" s="21" t="str">
        <x:v>Нет цены — нейтральный балл 50</x:v>
      </x:c>
    </x:row>
    <x:row r="20">
      <x:c r="A20" s="2"/>
      <x:c r="B20" s="2"/>
      <x:c r="C20" s="2"/>
      <x:c r="D20" s="2"/>
      <x:c r="E20" s="2"/>
    </x:row>
    <x:row r="21">
      <x:c r="A21" s="32" t="str">
        <x:v>Проверка</x:v>
      </x:c>
      <x:c r="B21" s="33"/>
      <x:c r="C21" s="2"/>
      <x:c r="D21" s="2"/>
      <x:c r="E21" s="2"/>
    </x:row>
    <x:row r="22">
      <x:c r="A22" s="2" t="str">
        <x:v>Сумма весов</x:v>
      </x:c>
      <x:c r="B22" s="9" t="n">
        <x:f>SUM(B7:B19)</x:f>
        <x:v>100</x:v>
      </x:c>
      <x:c r="C22" s="2"/>
      <x:c r="D22" s="2"/>
      <x:c r="E22" s="2"/>
    </x:row>
    <x:row r="23">
      <x:c r="A23" s="2" t="str">
        <x:v>Статус</x:v>
      </x:c>
      <x:c r="B23" s="2" t="str">
        <x:f>IF(ABS(B22-100)&lt;0.001,"Сумма = 100","Исправьте веса")</x:f>
        <x:v>Сумма = 100</x:v>
      </x:c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 ht="34" customHeight="1">
      <x:c r="A25" s="15" t="str">
        <x:v>Группа</x:v>
      </x:c>
      <x:c r="B25" s="16" t="str">
        <x:v>Вес</x:v>
      </x:c>
      <x:c r="C25" s="2"/>
      <x:c r="D25" s="2"/>
      <x:c r="E25" s="2"/>
    </x:row>
    <x:row r="26">
      <x:c r="A26" s="2" t="str">
        <x:v>Региональный спрос</x:v>
      </x:c>
      <x:c r="B26" s="9" t="n">
        <x:f>SUM(B7:B9)</x:f>
        <x:v>40</x:v>
      </x:c>
      <x:c r="C26" s="2"/>
      <x:c r="D26" s="2"/>
      <x:c r="E26" s="2"/>
    </x:row>
    <x:row r="27">
      <x:c r="A27" s="2" t="str">
        <x:v>Инфраструктура</x:v>
      </x:c>
      <x:c r="B27" s="9" t="n">
        <x:f>SUM(B10:B13)</x:f>
        <x:v>25</x:v>
      </x:c>
      <x:c r="C27" s="2"/>
      <x:c r="D27" s="2"/>
      <x:c r="E27" s="2"/>
    </x:row>
    <x:row r="28">
      <x:c r="A28" s="2" t="str">
        <x:v>Зимняя устойчивость</x:v>
      </x:c>
      <x:c r="B28" s="9" t="n">
        <x:f>SUM(B14:B16)</x:f>
        <x:v>20</x:v>
      </x:c>
      <x:c r="C28" s="2"/>
      <x:c r="D28" s="2"/>
      <x:c r="E28" s="2"/>
    </x:row>
    <x:row r="29">
      <x:c r="A29" s="2" t="str">
        <x:v>Доступность</x:v>
      </x:c>
      <x:c r="B29" s="9" t="n">
        <x:f>SUM(B17:B18)</x:f>
        <x:v>10</x:v>
      </x:c>
      <x:c r="C29" s="2"/>
      <x:c r="D29" s="2"/>
      <x:c r="E29" s="2"/>
    </x:row>
    <x:row r="30">
      <x:c r="A30" s="2" t="str">
        <x:v>Ценовая доступность</x:v>
      </x:c>
      <x:c r="B30" s="9" t="n">
        <x:f>B19</x:f>
        <x:v>5</x:v>
      </x:c>
      <x:c r="C30" s="2"/>
      <x:c r="D30" s="2"/>
      <x:c r="E30" s="2"/>
    </x:row>
  </x:sheetData>
  <x:conditionalFormatting sqref="B23:B23">
    <x:cfRule type="containsText" dxfId="1" priority="1" operator="containsText" text="Исправьте"/>
  </x:conditionalFormatting>
  <x:dataValidations count="1">
    <x:dataValidation type="decimal" operator="between" sqref="B7:B19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40" max="40" width="24" hidden="0" customWidth="1"/>
    <x:col min="41" max="41" width="42" hidden="0" customWidth="1"/>
  </x:cols>
  <x:sheetData>
    <x:row r="1" ht="24" customHeight="1">
      <x:c r="A1" s="3" t="str">
        <x:v>Расчёт индекса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34" customHeight="1">
      <x:c r="A3" s="15" t="str">
        <x:v>resort_id</x:v>
      </x:c>
      <x:c r="B3" s="22" t="str">
        <x:v>Курорт</x:v>
      </x:c>
      <x:c r="C3" s="22" t="str">
        <x:v>Регион</x:v>
      </x:c>
      <x:c r="D3" s="22" t="str">
        <x:v>Поездки 2025</x:v>
      </x:c>
      <x:c r="E3" s="22" t="str">
        <x:v>Рост 2025/2024</x:v>
      </x:c>
      <x:c r="F3" s="22" t="str">
        <x:v>Ночей на поездку</x:v>
      </x:c>
      <x:c r="G3" s="22" t="str">
        <x:v>Трассы OSM</x:v>
      </x:c>
      <x:c r="H3" s="22" t="str">
        <x:v>Подъёмники OSM</x:v>
      </x:c>
      <x:c r="I3" s="22" t="str">
        <x:v>Размещение OSM</x:v>
      </x:c>
      <x:c r="J3" s="22" t="str">
        <x:v>Питание + объекты</x:v>
      </x:c>
      <x:c r="K3" s="22" t="str">
        <x:v>Снежные дни</x:v>
      </x:c>
      <x:c r="L3" s="22" t="str">
        <x:v>Морозные дни</x:v>
      </x:c>
      <x:c r="M3" s="22" t="str">
        <x:v>Снегопад, см</x:v>
      </x:c>
      <x:c r="N3" s="22" t="str">
        <x:v>До аэропорта, км</x:v>
      </x:c>
      <x:c r="O3" s="22" t="str">
        <x:v>Транспорт OSM</x:v>
      </x:c>
      <x:c r="P3" s="22" t="str">
        <x:v>Цена ски-пасса, ₽</x:v>
      </x:c>
      <x:c r="Q3" s="22" t="str">
        <x:v>Месяцев с ценой</x:v>
      </x:c>
      <x:c r="R3" s="22" t="str">
        <x:v>Балл поездок</x:v>
      </x:c>
      <x:c r="S3" s="22" t="str">
        <x:v>Балл роста</x:v>
      </x:c>
      <x:c r="T3" s="22" t="str">
        <x:v>Балл длительности</x:v>
      </x:c>
      <x:c r="U3" s="22" t="str">
        <x:v>Балл трасс</x:v>
      </x:c>
      <x:c r="V3" s="22" t="str">
        <x:v>Балл подъёмников</x:v>
      </x:c>
      <x:c r="W3" s="22" t="str">
        <x:v>Балл размещения</x:v>
      </x:c>
      <x:c r="X3" s="22" t="str">
        <x:v>Балл сервисов</x:v>
      </x:c>
      <x:c r="Y3" s="22" t="str">
        <x:v>Балл снежных дней</x:v>
      </x:c>
      <x:c r="Z3" s="22" t="str">
        <x:v>Балл морозных дней</x:v>
      </x:c>
      <x:c r="AA3" s="22" t="str">
        <x:v>Балл снегопада</x:v>
      </x:c>
      <x:c r="AB3" s="22" t="str">
        <x:v>Балл аэропорта</x:v>
      </x:c>
      <x:c r="AC3" s="22" t="str">
        <x:v>Балл транспорта</x:v>
      </x:c>
      <x:c r="AD3" s="22" t="str">
        <x:v>Балл цены</x:v>
      </x:c>
      <x:c r="AE3" s="22" t="str">
        <x:v>Спрос</x:v>
      </x:c>
      <x:c r="AF3" s="22" t="str">
        <x:v>Инфраструктура</x:v>
      </x:c>
      <x:c r="AG3" s="22" t="str">
        <x:v>Зима</x:v>
      </x:c>
      <x:c r="AH3" s="22" t="str">
        <x:v>Доступность</x:v>
      </x:c>
      <x:c r="AI3" s="22" t="str">
        <x:v>Цена</x:v>
      </x:c>
      <x:c r="AJ3" s="22" t="str">
        <x:v>Индекс</x:v>
      </x:c>
      <x:c r="AK3" s="22" t="str">
        <x:v>Место</x:v>
      </x:c>
      <x:c r="AL3" s="22" t="str">
        <x:v>Уверенность</x:v>
      </x:c>
      <x:c r="AM3" s="22" t="str">
        <x:v>Полнота</x:v>
      </x:c>
      <x:c r="AN3" s="22" t="str">
        <x:v>Качество координат</x:v>
      </x:c>
      <x:c r="AO3" s="16" t="str">
        <x:v>Флаги качества</x:v>
      </x:c>
    </x:row>
    <x:row r="4">
      <x:c r="A4" s="2" t="str">
        <x:v>R003</x:v>
      </x:c>
      <x:c r="B4" s="2" t="str">
        <x:v>Газпром Поляна</x:v>
      </x:c>
      <x:c r="C4" s="2" t="str">
        <x:v>Краснодарский край</x:v>
      </x:c>
      <x:c r="D4" s="34" t="n">
        <x:v>18427326</x:v>
      </x:c>
      <x:c r="E4" s="35" t="n">
        <x:v>-0.038392342759812625</x:v>
      </x:c>
      <x:c r="F4" s="9" t="n">
        <x:v>6.005796337461008</x:v>
      </x:c>
      <x:c r="G4" s="9" t="n">
        <x:v>240</x:v>
      </x:c>
      <x:c r="H4" s="9" t="n">
        <x:v>63</x:v>
      </x:c>
      <x:c r="I4" s="9" t="n">
        <x:v>223</x:v>
      </x:c>
      <x:c r="J4" s="9" t="n">
        <x:v>320</x:v>
      </x:c>
      <x:c r="K4" s="9" t="n">
        <x:v>92.6</x:v>
      </x:c>
      <x:c r="L4" s="9" t="n">
        <x:v>18.6</x:v>
      </x:c>
      <x:c r="M4" s="9" t="n">
        <x:v>390.082</x:v>
      </x:c>
      <x:c r="N4" s="9" t="n">
        <x:v>36.9</x:v>
      </x:c>
      <x:c r="O4" s="9" t="n">
        <x:v>77</x:v>
      </x:c>
      <x:c r="P4" s="34" t="n">
        <x:v>4100</x:v>
      </x:c>
      <x:c r="Q4" s="10" t="n">
        <x:v>1</x:v>
      </x:c>
      <x:c r="R4" s="9" t="n">
        <x:f>IF(D4="",50,IF(MAX($D$4:$D$35)=MIN($D$4:$D$35),50,100*(LN(1+D4)-LN(1+MIN($D$4:$D$35)))/(LN(1+MAX($D$4:$D$35))-LN(1+MIN($D$4:$D$35)))))</x:f>
        <x:v>95.84430796153605</x:v>
      </x:c>
      <x:c r="S4" s="9" t="n">
        <x:f>IF(E4="",50,MAX(0,MIN(100,50+200*E4)))</x:f>
        <x:v>42.321531448037476</x:v>
      </x:c>
      <x:c r="T4" s="9" t="n">
        <x:f>IF(F4="",50,MAX(0,MIN(100,(F4-1)/6*100)))</x:f>
        <x:v>83.42993895768346</x:v>
      </x:c>
      <x:c r="U4" s="9" t="n">
        <x:f>IF(MAX($G$4:$G$35)=MIN($G$4:$G$35),50,100*(LN(1+G4)-LN(1+MIN($G$4:$G$35)))/(LN(1+MAX($G$4:$G$35))-LN(1+MIN($G$4:$G$35))))</x:f>
        <x:v>94.33563459692341</x:v>
      </x:c>
      <x:c r="V4" s="9" t="n">
        <x:f>IF(MAX($H$4:$H$35)=MIN($H$4:$H$35),50,100*(LN(1+H4)-LN(1+MIN($H$4:$H$35)))/(LN(1+MAX($H$4:$H$35))-LN(1+MIN($H$4:$H$35))))</x:f>
        <x:v>99.6285877295627</x:v>
      </x:c>
      <x:c r="W4" s="9" t="n">
        <x:f>IF(MAX($I$4:$I$35)=MIN($I$4:$I$35),50,100*(LN(1+I4)-LN(1+MIN($I$4:$I$35)))/(LN(1+MAX($I$4:$I$35))-LN(1+MIN($I$4:$I$35))))</x:f>
        <x:v>97.59193652572006</x:v>
      </x:c>
      <x:c r="X4" s="9" t="n">
        <x:f>IF(MAX($J$4:$J$35)=MIN($J$4:$J$35),50,100*(LN(1+J4)-LN(1+MIN($J$4:$J$35)))/(LN(1+MAX($J$4:$J$35))-LN(1+MIN($J$4:$J$35))))</x:f>
        <x:v>98.9139388270117</x:v>
      </x:c>
      <x:c r="Y4" s="9" t="n">
        <x:f>IF(MAX($K$4:$K$35)=MIN($K$4:$K$35),50,100*(K4-MIN($K$4:$K$35))/(MAX($K$4:$K$35)-MIN($K$4:$K$35)))</x:f>
        <x:v>69.11764705882351</x:v>
      </x:c>
      <x:c r="Z4" s="9" t="n">
        <x:f>IF(MAX($L$4:$L$35)=MIN($L$4:$L$35),50,100*(L4-MIN($L$4:$L$35))/(MAX($L$4:$L$35)-MIN($L$4:$L$35)))</x:f>
        <x:v>1.1523687580025612</x:v>
      </x:c>
      <x:c r="AA4" s="9" t="n">
        <x:f>IF(MAX($M$4:$M$35)=MIN($M$4:$M$35),50,100*(LN(1+M4)-LN(1+MIN($M$4:$M$35)))/(LN(1+MAX($M$4:$M$35))-LN(1+MIN($M$4:$M$35))))</x:f>
        <x:v>81.73935810631777</x:v>
      </x:c>
      <x:c r="AB4" s="9" t="n">
        <x:f>IF(MAX($N$4:$N$35)=MIN($N$4:$N$35),50,100-100*(LN(1+N4)-LN(1+MIN($N$4:$N$35)))/(LN(1+MAX($N$4:$N$35))-LN(1+MIN($N$4:$N$35))))</x:f>
        <x:v>40.30040539805893</x:v>
      </x:c>
      <x:c r="AC4" s="9" t="n">
        <x:f>IF(MAX($O$4:$O$35)=MIN($O$4:$O$35),50,100*(LN(1+O4)-LN(1+MIN($O$4:$O$35)))/(LN(1+MAX($O$4:$O$35))-LN(1+MIN($O$4:$O$35))))</x:f>
        <x:v>71.4703775029784</x:v>
      </x:c>
      <x:c r="AD4" s="9" t="n">
        <x:f>IF(P4="",50,IF(MAX($P$4:$P$35)=MIN($P$4:$P$35),50,100-100*(LN(1+P4)-LN(1+MIN($P$4:$P$35)))/(LN(1+MAX($P$4:$P$35))-LN(1+MIN($P$4:$P$35)))))</x:f>
        <x:v>40.2624973784775</x:v>
      </x:c>
      <x:c r="AE4" s="9" t="n">
        <x:f>(R4*'Веса'!$B$7+S4*'Веса'!$B$8+T4*'Веса'!$B$9)/'Веса'!$B$26</x:f>
        <x:v>80.91181770767983</x:v>
      </x:c>
      <x:c r="AF4" s="9" t="n">
        <x:f>(U4*'Веса'!$B$10+V4*'Веса'!$B$11+W4*'Веса'!$B$12+X4*'Веса'!$B$13)/'Веса'!$B$27</x:f>
        <x:v>97.01831836743233</x:v>
      </x:c>
      <x:c r="AG4" s="9" t="n">
        <x:f>(Y4*'Веса'!$B$14+Z4*'Веса'!$B$15+AA4*'Веса'!$B$16)/'Веса'!$B$28</x:f>
        <x:v>52.51457688282551</x:v>
      </x:c>
      <x:c r="AH4" s="9" t="n">
        <x:f>(AB4*'Веса'!$B$17+AC4*'Веса'!$B$18)/'Веса'!$B$29</x:f>
        <x:v>46.534399819042825</x:v>
      </x:c>
      <x:c r="AI4" s="9" t="n">
        <x:f>AD4</x:f>
        <x:v>40.2624973784775</x:v>
      </x:c>
      <x:c r="AJ4" s="9" t="n">
        <x:f>(AE4*'Веса'!$B$26+AF4*'Веса'!$B$27+AG4*'Веса'!$B$28+AH4*'Веса'!$B$29+AI4*'Веса'!$B$30)/'Веса'!$B$22</x:f>
        <x:v>73.78878690232328</x:v>
      </x:c>
      <x:c r="AK4" s="9" t="n">
        <x:f>COUNTIF($AJ$4:$AJ$35,"&gt;"&amp;AJ4)+1</x:f>
        <x:v>1</x:v>
      </x:c>
      <x:c r="AL4" s="9" t="n">
        <x:f>MIN(100,50*AM4+25*IF(P4&lt;&gt;"",1,0)+25*IF(AN4="resort_or_complex_page",1,0))</x:f>
        <x:v>100</x:v>
      </x:c>
      <x:c r="AM4" s="35" t="n">
        <x:v>1</x:v>
      </x:c>
      <x:c r="AN4" s="2" t="str">
        <x:v>resort_or_complex_page</x:v>
      </x:c>
      <x:c r="AO4" s="2" t="str">
        <x:v>OSM radii overlap</x:v>
      </x:c>
    </x:row>
    <x:row r="5">
      <x:c r="A5" s="2" t="str">
        <x:v>R002</x:v>
      </x:c>
      <x:c r="B5" s="2" t="str">
        <x:v>Красная Поляна</x:v>
      </x:c>
      <x:c r="C5" s="2" t="str">
        <x:v>Краснодарский край</x:v>
      </x:c>
      <x:c r="D5" s="34" t="n">
        <x:v>18427326</x:v>
      </x:c>
      <x:c r="E5" s="35" t="n">
        <x:v>-0.038392342759812625</x:v>
      </x:c>
      <x:c r="F5" s="9" t="n">
        <x:v>6.005796337461008</x:v>
      </x:c>
      <x:c r="G5" s="9" t="n">
        <x:v>121</x:v>
      </x:c>
      <x:c r="H5" s="9" t="n">
        <x:v>44</x:v>
      </x:c>
      <x:c r="I5" s="9" t="n">
        <x:v>255</x:v>
      </x:c>
      <x:c r="J5" s="9" t="n">
        <x:v>341</x:v>
      </x:c>
      <x:c r="K5" s="9" t="n">
        <x:v>92.6</x:v>
      </x:c>
      <x:c r="L5" s="9" t="n">
        <x:v>16.8</x:v>
      </x:c>
      <x:c r="M5" s="9" t="n">
        <x:v>390.082</x:v>
      </x:c>
      <x:c r="N5" s="9" t="n">
        <x:v>35.9</x:v>
      </x:c>
      <x:c r="O5" s="9" t="n">
        <x:v>76</x:v>
      </x:c>
      <x:c r="P5" s="34" t="n">
        <x:v>4483.333333333333</x:v>
      </x:c>
      <x:c r="Q5" s="10" t="n">
        <x:v>6</x:v>
      </x:c>
      <x:c r="R5" s="9" t="n">
        <x:f>IF(D5="",50,IF(MAX($D$4:$D$35)=MIN($D$4:$D$35),50,100*(LN(1+D5)-LN(1+MIN($D$4:$D$35)))/(LN(1+MAX($D$4:$D$35))-LN(1+MIN($D$4:$D$35)))))</x:f>
        <x:v>95.84430796153605</x:v>
      </x:c>
      <x:c r="S5" s="9" t="n">
        <x:f>IF(E5="",50,MAX(0,MIN(100,50+200*E5)))</x:f>
        <x:v>42.321531448037476</x:v>
      </x:c>
      <x:c r="T5" s="9" t="n">
        <x:f>IF(F5="",50,MAX(0,MIN(100,(F5-1)/6*100)))</x:f>
        <x:v>83.42993895768346</x:v>
      </x:c>
      <x:c r="U5" s="9" t="n">
        <x:f>IF(MAX($G$4:$G$35)=MIN($G$4:$G$35),50,100*(LN(1+G5)-LN(1+MIN($G$4:$G$35)))/(LN(1+MAX($G$4:$G$35))-LN(1+MIN($G$4:$G$35))))</x:f>
        <x:v>82.62664586626103</x:v>
      </x:c>
      <x:c r="V5" s="9" t="n">
        <x:f>IF(MAX($H$4:$H$35)=MIN($H$4:$H$35),50,100*(LN(1+H5)-LN(1+MIN($H$4:$H$35)))/(LN(1+MAX($H$4:$H$35))-LN(1+MIN($H$4:$H$35))))</x:f>
        <x:v>91.19092800092525</x:v>
      </x:c>
      <x:c r="W5" s="9" t="n">
        <x:f>IF(MAX($I$4:$I$35)=MIN($I$4:$I$35),50,100*(LN(1+I5)-LN(1+MIN($I$4:$I$35)))/(LN(1+MAX($I$4:$I$35))-LN(1+MIN($I$4:$I$35))))</x:f>
        <x:v>100</x:v>
      </x:c>
      <x:c r="X5" s="9" t="n">
        <x:f>IF(MAX($J$4:$J$35)=MIN($J$4:$J$35),50,100*(LN(1+J5)-LN(1+MIN($J$4:$J$35)))/(LN(1+MAX($J$4:$J$35))-LN(1+MIN($J$4:$J$35))))</x:f>
        <x:v>100.00000000000001</x:v>
      </x:c>
      <x:c r="Y5" s="9" t="n">
        <x:f>IF(MAX($K$4:$K$35)=MIN($K$4:$K$35),50,100*(K5-MIN($K$4:$K$35))/(MAX($K$4:$K$35)-MIN($K$4:$K$35)))</x:f>
        <x:v>69.11764705882351</x:v>
      </x:c>
      <x:c r="Z5" s="9" t="n">
        <x:f>IF(MAX($L$4:$L$35)=MIN($L$4:$L$35),50,100*(L5-MIN($L$4:$L$35))/(MAX($L$4:$L$35)-MIN($L$4:$L$35)))</x:f>
        <x:v>0</x:v>
      </x:c>
      <x:c r="AA5" s="9" t="n">
        <x:f>IF(MAX($M$4:$M$35)=MIN($M$4:$M$35),50,100*(LN(1+M5)-LN(1+MIN($M$4:$M$35)))/(LN(1+MAX($M$4:$M$35))-LN(1+MIN($M$4:$M$35))))</x:f>
        <x:v>81.73935810631777</x:v>
      </x:c>
      <x:c r="AB5" s="9" t="n">
        <x:f>IF(MAX($N$4:$N$35)=MIN($N$4:$N$35),50,100-100*(LN(1+N5)-LN(1+MIN($N$4:$N$35)))/(LN(1+MAX($N$4:$N$35))-LN(1+MIN($N$4:$N$35))))</x:f>
        <x:v>40.89617957191305</x:v>
      </x:c>
      <x:c r="AC5" s="9" t="n">
        <x:f>IF(MAX($O$4:$O$35)=MIN($O$4:$O$35),50,100*(LN(1+O5)-LN(1+MIN($O$4:$O$35)))/(LN(1+MAX($O$4:$O$35))-LN(1+MIN($O$4:$O$35))))</x:f>
        <x:v>71.2587013842884</x:v>
      </x:c>
      <x:c r="AD5" s="9" t="n">
        <x:f>IF(P5="",50,IF(MAX($P$4:$P$35)=MIN($P$4:$P$35),50,100-100*(LN(1+P5)-LN(1+MIN($P$4:$P$35)))/(LN(1+MAX($P$4:$P$35))-LN(1+MIN($P$4:$P$35)))))</x:f>
        <x:v>30.92902817666277</x:v>
      </x:c>
      <x:c r="AE5" s="9" t="n">
        <x:f>(R5*'Веса'!$B$7+S5*'Веса'!$B$8+T5*'Веса'!$B$9)/'Веса'!$B$26</x:f>
        <x:v>80.91181770767983</x:v>
      </x:c>
      <x:c r="AF5" s="9" t="n">
        <x:f>(U5*'Веса'!$B$10+V5*'Веса'!$B$11+W5*'Веса'!$B$12+X5*'Веса'!$B$13)/'Веса'!$B$27</x:f>
        <x:v>90.58411818676348</x:v>
      </x:c>
      <x:c r="AG5" s="9" t="n">
        <x:f>(Y5*'Веса'!$B$14+Z5*'Веса'!$B$15+AA5*'Веса'!$B$16)/'Веса'!$B$28</x:f>
        <x:v>52.16886625542473</x:v>
      </x:c>
      <x:c r="AH5" s="9" t="n">
        <x:f>(AB5*'Веса'!$B$17+AC5*'Веса'!$B$18)/'Веса'!$B$29</x:f>
        <x:v>46.968683934388125</x:v>
      </x:c>
      <x:c r="AI5" s="9" t="n">
        <x:f>AD5</x:f>
        <x:v>30.92902817666277</x:v>
      </x:c>
      <x:c r="AJ5" s="9" t="n">
        <x:f>(AE5*'Веса'!$B$26+AF5*'Веса'!$B$27+AG5*'Веса'!$B$28+AH5*'Веса'!$B$29+AI5*'Веса'!$B$30)/'Веса'!$B$22</x:f>
        <x:v>71.68784968311971</x:v>
      </x:c>
      <x:c r="AK5" s="9" t="n">
        <x:f>COUNTIF($AJ$4:$AJ$35,"&gt;"&amp;AJ5)+1</x:f>
        <x:v>2</x:v>
      </x:c>
      <x:c r="AL5" s="9" t="n">
        <x:f>MIN(100,50*AM5+25*IF(P5&lt;&gt;"",1,0)+25*IF(AN5="resort_or_complex_page",1,0))</x:f>
        <x:v>100</x:v>
      </x:c>
      <x:c r="AM5" s="35" t="n">
        <x:v>1</x:v>
      </x:c>
      <x:c r="AN5" s="2" t="str">
        <x:v>resort_or_complex_page</x:v>
      </x:c>
      <x:c r="AO5" s="2" t="str">
        <x:v>OSM radii overlap</x:v>
      </x:c>
    </x:row>
    <x:row r="6">
      <x:c r="A6" s="2" t="str">
        <x:v>R001</x:v>
      </x:c>
      <x:c r="B6" s="2" t="str">
        <x:v>Роза Хутор</x:v>
      </x:c>
      <x:c r="C6" s="2" t="str">
        <x:v>Краснодарский край</x:v>
      </x:c>
      <x:c r="D6" s="34" t="n">
        <x:v>18427326</x:v>
      </x:c>
      <x:c r="E6" s="35" t="n">
        <x:v>-0.038392342759812625</x:v>
      </x:c>
      <x:c r="F6" s="9" t="n">
        <x:v>6.005796337461008</x:v>
      </x:c>
      <x:c r="G6" s="9" t="n">
        <x:v>334</x:v>
      </x:c>
      <x:c r="H6" s="9" t="n">
        <x:v>64</x:v>
      </x:c>
      <x:c r="I6" s="9" t="n">
        <x:v>86</x:v>
      </x:c>
      <x:c r="J6" s="9" t="n">
        <x:v>149</x:v>
      </x:c>
      <x:c r="K6" s="9" t="n">
        <x:v>92.6</x:v>
      </x:c>
      <x:c r="L6" s="9" t="n">
        <x:v>35.2</x:v>
      </x:c>
      <x:c r="M6" s="9" t="n">
        <x:v>390.082</x:v>
      </x:c>
      <x:c r="N6" s="9" t="n">
        <x:v>37.3</x:v>
      </x:c>
      <x:c r="O6" s="9" t="n">
        <x:v>45</x:v>
      </x:c>
      <x:c r="P6" s="34" t="n">
        <x:v>6028.75</x:v>
      </x:c>
      <x:c r="Q6" s="10" t="n">
        <x:v>4</x:v>
      </x:c>
      <x:c r="R6" s="9" t="n">
        <x:f>IF(D6="",50,IF(MAX($D$4:$D$35)=MIN($D$4:$D$35),50,100*(LN(1+D6)-LN(1+MIN($D$4:$D$35)))/(LN(1+MAX($D$4:$D$35))-LN(1+MIN($D$4:$D$35)))))</x:f>
        <x:v>95.84430796153605</x:v>
      </x:c>
      <x:c r="S6" s="9" t="n">
        <x:f>IF(E6="",50,MAX(0,MIN(100,50+200*E6)))</x:f>
        <x:v>42.321531448037476</x:v>
      </x:c>
      <x:c r="T6" s="9" t="n">
        <x:f>IF(F6="",50,MAX(0,MIN(100,(F6-1)/6*100)))</x:f>
        <x:v>83.42993895768346</x:v>
      </x:c>
      <x:c r="U6" s="9" t="n">
        <x:f>IF(MAX($G$4:$G$35)=MIN($G$4:$G$35),50,100*(LN(1+G6)-LN(1+MIN($G$4:$G$35)))/(LN(1+MAX($G$4:$G$35))-LN(1+MIN($G$4:$G$35))))</x:f>
        <x:v>100</x:v>
      </x:c>
      <x:c r="V6" s="9" t="n">
        <x:f>IF(MAX($H$4:$H$35)=MIN($H$4:$H$35),50,100*(LN(1+H6)-LN(1+MIN($H$4:$H$35)))/(LN(1+MAX($H$4:$H$35))-LN(1+MIN($H$4:$H$35))))</x:f>
        <x:v>100</x:v>
      </x:c>
      <x:c r="W6" s="9" t="n">
        <x:f>IF(MAX($I$4:$I$35)=MIN($I$4:$I$35),50,100*(LN(1+I6)-LN(1+MIN($I$4:$I$35)))/(LN(1+MAX($I$4:$I$35))-LN(1+MIN($I$4:$I$35))))</x:f>
        <x:v>80.53679369810911</x:v>
      </x:c>
      <x:c r="X6" s="9" t="n">
        <x:f>IF(MAX($J$4:$J$35)=MIN($J$4:$J$35),50,100*(LN(1+J6)-LN(1+MIN($J$4:$J$35)))/(LN(1+MAX($J$4:$J$35))-LN(1+MIN($J$4:$J$35))))</x:f>
        <x:v>85.8748555847544</x:v>
      </x:c>
      <x:c r="Y6" s="9" t="n">
        <x:f>IF(MAX($K$4:$K$35)=MIN($K$4:$K$35),50,100*(K6-MIN($K$4:$K$35))/(MAX($K$4:$K$35)-MIN($K$4:$K$35)))</x:f>
        <x:v>69.11764705882351</x:v>
      </x:c>
      <x:c r="Z6" s="9" t="n">
        <x:f>IF(MAX($L$4:$L$35)=MIN($L$4:$L$35),50,100*(L6-MIN($L$4:$L$35))/(MAX($L$4:$L$35)-MIN($L$4:$L$35)))</x:f>
        <x:v>11.779769526248401</x:v>
      </x:c>
      <x:c r="AA6" s="9" t="n">
        <x:f>IF(MAX($M$4:$M$35)=MIN($M$4:$M$35),50,100*(LN(1+M6)-LN(1+MIN($M$4:$M$35)))/(LN(1+MAX($M$4:$M$35))-LN(1+MIN($M$4:$M$35))))</x:f>
        <x:v>81.73935810631777</x:v>
      </x:c>
      <x:c r="AB6" s="9" t="n">
        <x:f>IF(MAX($N$4:$N$35)=MIN($N$4:$N$35),50,100-100*(LN(1+N6)-LN(1+MIN($N$4:$N$35)))/(LN(1+MAX($N$4:$N$35))-LN(1+MIN($N$4:$N$35))))</x:f>
        <x:v>40.0664859102712</x:v>
      </x:c>
      <x:c r="AC6" s="9" t="n">
        <x:f>IF(MAX($O$4:$O$35)=MIN($O$4:$O$35),50,100*(LN(1+O6)-LN(1+MIN($O$4:$O$35)))/(LN(1+MAX($O$4:$O$35))-LN(1+MIN($O$4:$O$35))))</x:f>
        <x:v>62.80760473463286</x:v>
      </x:c>
      <x:c r="AD6" s="9" t="n">
        <x:f>IF(P6="",50,IF(MAX($P$4:$P$35)=MIN($P$4:$P$35),50,100-100*(LN(1+P6)-LN(1+MIN($P$4:$P$35)))/(LN(1+MAX($P$4:$P$35))-LN(1+MIN($P$4:$P$35)))))</x:f>
        <x:v>0</x:v>
      </x:c>
      <x:c r="AE6" s="9" t="n">
        <x:f>(R6*'Веса'!$B$7+S6*'Веса'!$B$8+T6*'Веса'!$B$9)/'Веса'!$B$26</x:f>
        <x:v>80.91181770767983</x:v>
      </x:c>
      <x:c r="AF6" s="9" t="n">
        <x:f>(U6*'Веса'!$B$10+V6*'Веса'!$B$11+W6*'Веса'!$B$12+X6*'Веса'!$B$13)/'Веса'!$B$27</x:f>
        <x:v>94.41234140979233</x:v>
      </x:c>
      <x:c r="AG6" s="9" t="n">
        <x:f>(Y6*'Веса'!$B$14+Z6*'Веса'!$B$15+AA6*'Веса'!$B$16)/'Веса'!$B$28</x:f>
        <x:v>55.702797113299255</x:v>
      </x:c>
      <x:c r="AH6" s="9" t="n">
        <x:f>(AB6*'Веса'!$B$17+AC6*'Веса'!$B$18)/'Веса'!$B$29</x:f>
        <x:v>44.61470967514353</x:v>
      </x:c>
      <x:c r="AI6" s="9" t="n">
        <x:f>AD6</x:f>
        <x:v>0</x:v>
      </x:c>
      <x:c r="AJ6" s="9" t="n">
        <x:f>(AE6*'Веса'!$B$26+AF6*'Веса'!$B$27+AG6*'Веса'!$B$28+AH6*'Веса'!$B$29+AI6*'Веса'!$B$30)/'Веса'!$B$22</x:f>
        <x:v>71.56984282569421</x:v>
      </x:c>
      <x:c r="AK6" s="9" t="n">
        <x:f>COUNTIF($AJ$4:$AJ$35,"&gt;"&amp;AJ6)+1</x:f>
        <x:v>3</x:v>
      </x:c>
      <x:c r="AL6" s="9" t="n">
        <x:f>MIN(100,50*AM6+25*IF(P6&lt;&gt;"",1,0)+25*IF(AN6="resort_or_complex_page",1,0))</x:f>
        <x:v>75</x:v>
      </x:c>
      <x:c r="AM6" s="35" t="n">
        <x:v>1</x:v>
      </x:c>
      <x:c r="AN6" s="2" t="str">
        <x:v>nearby_feature_proxy</x:v>
      </x:c>
      <x:c r="AO6" s="2" t="str">
        <x:v>coordinates are proxy; OSM radii overlap</x:v>
      </x:c>
    </x:row>
    <x:row r="7">
      <x:c r="A7" s="2" t="str">
        <x:v>R030</x:v>
      </x:c>
      <x:c r="B7" s="2" t="str">
        <x:v>Сорочаны</x:v>
      </x:c>
      <x:c r="C7" s="2" t="str">
        <x:v>Московская область</x:v>
      </x:c>
      <x:c r="D7" s="34" t="n">
        <x:v>22431311</x:v>
      </x:c>
      <x:c r="E7" s="35" t="n">
        <x:v>0.2455020320818797</x:v>
      </x:c>
      <x:c r="F7" s="9" t="n">
        <x:v>4.300163285150832</x:v>
      </x:c>
      <x:c r="G7" s="9" t="n">
        <x:v>43</x:v>
      </x:c>
      <x:c r="H7" s="9" t="n">
        <x:v>17</x:v>
      </x:c>
      <x:c r="I7" s="9" t="n">
        <x:v>30</x:v>
      </x:c>
      <x:c r="J7" s="9" t="n">
        <x:v>40</x:v>
      </x:c>
      <x:c r="K7" s="9" t="n">
        <x:v>78.8</x:v>
      </x:c>
      <x:c r="L7" s="9" t="n">
        <x:v>105.6</x:v>
      </x:c>
      <x:c r="M7" s="9" t="n">
        <x:v>137.54999999999995</x:v>
      </x:c>
      <x:c r="N7" s="9" t="n">
        <x:v>34.6</x:v>
      </x:c>
      <x:c r="O7" s="9" t="n">
        <x:v>114</x:v>
      </x:c>
      <x:c r="P7" s="34"/>
      <x:c r="Q7" s="10" t="n">
        <x:v>0</x:v>
      </x:c>
      <x:c r="R7" s="9" t="n">
        <x:f>IF(D7="",50,IF(MAX($D$4:$D$35)=MIN($D$4:$D$35),50,100*(LN(1+D7)-LN(1+MIN($D$4:$D$35)))/(LN(1+MAX($D$4:$D$35))-LN(1+MIN($D$4:$D$35)))))</x:f>
        <x:v>100</x:v>
      </x:c>
      <x:c r="S7" s="9" t="n">
        <x:f>IF(E7="",50,MAX(0,MIN(100,50+200*E7)))</x:f>
        <x:v>99.10040641637593</x:v>
      </x:c>
      <x:c r="T7" s="9" t="n">
        <x:f>IF(F7="",50,MAX(0,MIN(100,(F7-1)/6*100)))</x:f>
        <x:v>55.00272141918053</x:v>
      </x:c>
      <x:c r="U7" s="9" t="n">
        <x:f>IF(MAX($G$4:$G$35)=MIN($G$4:$G$35),50,100*(LN(1+G7)-LN(1+MIN($G$4:$G$35)))/(LN(1+MAX($G$4:$G$35))-LN(1+MIN($G$4:$G$35))))</x:f>
        <x:v>65.086079736335</x:v>
      </x:c>
      <x:c r="V7" s="9" t="n">
        <x:f>IF(MAX($H$4:$H$35)=MIN($H$4:$H$35),50,100*(LN(1+H7)-LN(1+MIN($H$4:$H$35)))/(LN(1+MAX($H$4:$H$35))-LN(1+MIN($H$4:$H$35))))</x:f>
        <x:v>69.24062313864871</x:v>
      </x:c>
      <x:c r="W7" s="9" t="n">
        <x:f>IF(MAX($I$4:$I$35)=MIN($I$4:$I$35),50,100*(LN(1+I7)-LN(1+MIN($I$4:$I$35)))/(LN(1+MAX($I$4:$I$35))-LN(1+MIN($I$4:$I$35))))</x:f>
        <x:v>61.92745387983594</x:v>
      </x:c>
      <x:c r="X7" s="9" t="n">
        <x:f>IF(MAX($J$4:$J$35)=MIN($J$4:$J$35),50,100*(LN(1+J7)-LN(1+MIN($J$4:$J$35)))/(LN(1+MAX($J$4:$J$35))-LN(1+MIN($J$4:$J$35))))</x:f>
        <x:v>63.64511608089994</x:v>
      </x:c>
      <x:c r="Y7" s="9" t="n">
        <x:f>IF(MAX($K$4:$K$35)=MIN($K$4:$K$35),50,100*(K7-MIN($K$4:$K$35))/(MAX($K$4:$K$35)-MIN($K$4:$K$35)))</x:f>
        <x:v>43.749999999999986</x:v>
      </x:c>
      <x:c r="Z7" s="9" t="n">
        <x:f>IF(MAX($L$4:$L$35)=MIN($L$4:$L$35),50,100*(L7-MIN($L$4:$L$35))/(MAX($L$4:$L$35)-MIN($L$4:$L$35)))</x:f>
        <x:v>56.85019206145967</x:v>
      </x:c>
      <x:c r="AA7" s="9" t="n">
        <x:f>IF(MAX($M$4:$M$35)=MIN($M$4:$M$35),50,100*(LN(1+M7)-LN(1+MIN($M$4:$M$35)))/(LN(1+MAX($M$4:$M$35))-LN(1+MIN($M$4:$M$35))))</x:f>
        <x:v>30.31237908196282</x:v>
      </x:c>
      <x:c r="AB7" s="9" t="n">
        <x:f>IF(MAX($N$4:$N$35)=MIN($N$4:$N$35),50,100-100*(LN(1+N7)-LN(1+MIN($N$4:$N$35)))/(LN(1+MAX($N$4:$N$35))-LN(1+MIN($N$4:$N$35))))</x:f>
        <x:v>41.695294589766874</x:v>
      </x:c>
      <x:c r="AC7" s="9" t="n">
        <x:f>IF(MAX($O$4:$O$35)=MIN($O$4:$O$35),50,100*(LN(1+O7)-LN(1+MIN($O$4:$O$35)))/(LN(1+MAX($O$4:$O$35))-LN(1+MIN($O$4:$O$35))))</x:f>
        <x:v>77.83905326944038</x:v>
      </x:c>
      <x:c r="AD7" s="9" t="n">
        <x:f>IF(P7="",50,IF(MAX($P$4:$P$35)=MIN($P$4:$P$35),50,100-100*(LN(1+P7)-LN(1+MIN($P$4:$P$35)))/(LN(1+MAX($P$4:$P$35))-LN(1+MIN($P$4:$P$35)))))</x:f>
        <x:v>50</x:v>
      </x:c>
      <x:c r="AE7" s="9" t="n">
        <x:f>(R7*'Веса'!$B$7+S7*'Веса'!$B$8+T7*'Веса'!$B$9)/'Веса'!$B$26</x:f>
        <x:v>94.15044178149155</x:v>
      </x:c>
      <x:c r="AF7" s="9" t="n">
        <x:f>(U7*'Веса'!$B$10+V7*'Веса'!$B$11+W7*'Веса'!$B$12+X7*'Веса'!$B$13)/'Веса'!$B$27</x:f>
        <x:v>65.44471107903081</x:v>
      </x:c>
      <x:c r="AG7" s="9" t="n">
        <x:f>(Y7*'Веса'!$B$14+Z7*'Веса'!$B$15+AA7*'Веса'!$B$16)/'Веса'!$B$28</x:f>
        <x:v>43.64877134302675</x:v>
      </x:c>
      <x:c r="AH7" s="9" t="n">
        <x:f>(AB7*'Веса'!$B$17+AC7*'Веса'!$B$18)/'Веса'!$B$29</x:f>
        <x:v>48.92404632570158</x:v>
      </x:c>
      <x:c r="AI7" s="9" t="n">
        <x:f>AD7</x:f>
        <x:v>50</x:v>
      </x:c>
      <x:c r="AJ7" s="9" t="n">
        <x:f>(AE7*'Веса'!$B$26+AF7*'Веса'!$B$27+AG7*'Веса'!$B$28+AH7*'Веса'!$B$29+AI7*'Веса'!$B$30)/'Веса'!$B$22</x:f>
        <x:v>70.14351338352984</x:v>
      </x:c>
      <x:c r="AK7" s="9" t="n">
        <x:f>COUNTIF($AJ$4:$AJ$35,"&gt;"&amp;AJ7)+1</x:f>
        <x:v>4</x:v>
      </x:c>
      <x:c r="AL7" s="9" t="n">
        <x:f>MIN(100,50*AM7+25*IF(P7&lt;&gt;"",1,0)+25*IF(AN7="resort_or_complex_page",1,0))</x:f>
        <x:v>75</x:v>
      </x:c>
      <x:c r="AM7" s="35" t="n">
        <x:v>1</x:v>
      </x:c>
      <x:c r="AN7" s="2" t="str">
        <x:v>resort_or_complex_page</x:v>
      </x:c>
      <x:c r="AO7" s="2"/>
    </x:row>
    <x:row r="8">
      <x:c r="A8" s="2" t="str">
        <x:v>R005</x:v>
      </x:c>
      <x:c r="B8" s="2" t="str">
        <x:v>Архыз</x:v>
      </x:c>
      <x:c r="C8" s="2" t="str">
        <x:v>Карачаево-Черкесская Республика</x:v>
      </x:c>
      <x:c r="D8" s="34" t="n">
        <x:v>1303991</x:v>
      </x:c>
      <x:c r="E8" s="35" t="n">
        <x:v>0.86337135361145</x:v>
      </x:c>
      <x:c r="F8" s="9" t="n">
        <x:v>1.7480266351531568</x:v>
      </x:c>
      <x:c r="G8" s="9" t="n">
        <x:v>42</x:v>
      </x:c>
      <x:c r="H8" s="9" t="n">
        <x:v>13</x:v>
      </x:c>
      <x:c r="I8" s="9" t="n">
        <x:v>187</x:v>
      </x:c>
      <x:c r="J8" s="9" t="n">
        <x:v>94</x:v>
      </x:c>
      <x:c r="K8" s="9" t="n">
        <x:v>107.6</x:v>
      </x:c>
      <x:c r="L8" s="9" t="n">
        <x:v>81.6</x:v>
      </x:c>
      <x:c r="M8" s="9" t="n">
        <x:v>523.1939999999998</x:v>
      </x:c>
      <x:c r="N8" s="9" t="n">
        <x:v>99.4</x:v>
      </x:c>
      <x:c r="O8" s="9" t="n">
        <x:v>18</x:v>
      </x:c>
      <x:c r="P8" s="34" t="n">
        <x:v>3918.75</x:v>
      </x:c>
      <x:c r="Q8" s="10" t="n">
        <x:v>4</x:v>
      </x:c>
      <x:c r="R8" s="9" t="n">
        <x:f>IF(D8="",50,IF(MAX($D$4:$D$35)=MIN($D$4:$D$35),50,100*(LN(1+D8)-LN(1+MIN($D$4:$D$35)))/(LN(1+MAX($D$4:$D$35))-LN(1+MIN($D$4:$D$35)))))</x:f>
        <x:v>39.869438863029494</x:v>
      </x:c>
      <x:c r="S8" s="9" t="n">
        <x:f>IF(E8="",50,MAX(0,MIN(100,50+200*E8)))</x:f>
        <x:v>100</x:v>
      </x:c>
      <x:c r="T8" s="9" t="n">
        <x:f>IF(F8="",50,MAX(0,MIN(100,(F8-1)/6*100)))</x:f>
        <x:v>12.467110585885948</x:v>
      </x:c>
      <x:c r="U8" s="9" t="n">
        <x:f>IF(MAX($G$4:$G$35)=MIN($G$4:$G$35),50,100*(LN(1+G8)-LN(1+MIN($G$4:$G$35)))/(LN(1+MAX($G$4:$G$35))-LN(1+MIN($G$4:$G$35))))</x:f>
        <x:v>64.69067206361662</x:v>
      </x:c>
      <x:c r="V8" s="9" t="n">
        <x:f>IF(MAX($H$4:$H$35)=MIN($H$4:$H$35),50,100*(LN(1+H8)-LN(1+MIN($H$4:$H$35)))/(LN(1+MAX($H$4:$H$35))-LN(1+MIN($H$4:$H$35))))</x:f>
        <x:v>63.22023231163305</x:v>
      </x:c>
      <x:c r="W8" s="9" t="n">
        <x:f>IF(MAX($I$4:$I$35)=MIN($I$4:$I$35),50,100*(LN(1+I8)-LN(1+MIN($I$4:$I$35)))/(LN(1+MAX($I$4:$I$35))-LN(1+MIN($I$4:$I$35))))</x:f>
        <x:v>94.43236064597048</x:v>
      </x:c>
      <x:c r="X8" s="9" t="n">
        <x:f>IF(MAX($J$4:$J$35)=MIN($J$4:$J$35),50,100*(LN(1+J8)-LN(1+MIN($J$4:$J$35)))/(LN(1+MAX($J$4:$J$35))-LN(1+MIN($J$4:$J$35))))</x:f>
        <x:v>78.04669417423264</x:v>
      </x:c>
      <x:c r="Y8" s="9" t="n">
        <x:f>IF(MAX($K$4:$K$35)=MIN($K$4:$K$35),50,100*(K8-MIN($K$4:$K$35))/(MAX($K$4:$K$35)-MIN($K$4:$K$35)))</x:f>
        <x:v>96.6911764705882</x:v>
      </x:c>
      <x:c r="Z8" s="9" t="n">
        <x:f>IF(MAX($L$4:$L$35)=MIN($L$4:$L$35),50,100*(L8-MIN($L$4:$L$35))/(MAX($L$4:$L$35)-MIN($L$4:$L$35)))</x:f>
        <x:v>41.48527528809219</x:v>
      </x:c>
      <x:c r="AA8" s="9" t="n">
        <x:f>IF(MAX($M$4:$M$35)=MIN($M$4:$M$35),50,100*(LN(1+M8)-LN(1+MIN($M$4:$M$35)))/(LN(1+MAX($M$4:$M$35))-LN(1+MIN($M$4:$M$35))))</x:f>
        <x:v>96.25748343739909</x:v>
      </x:c>
      <x:c r="AB8" s="9" t="n">
        <x:f>IF(MAX($N$4:$N$35)=MIN($N$4:$N$35),50,100-100*(LN(1+N8)-LN(1+MIN($N$4:$N$35)))/(LN(1+MAX($N$4:$N$35))-LN(1+MIN($N$4:$N$35))))</x:f>
        <x:v>18.594371799581808</x:v>
      </x:c>
      <x:c r="AC8" s="9" t="n">
        <x:f>IF(MAX($O$4:$O$35)=MIN($O$4:$O$35),50,100*(LN(1+O8)-LN(1+MIN($O$4:$O$35)))/(LN(1+MAX($O$4:$O$35))-LN(1+MIN($O$4:$O$35))))</x:f>
        <x:v>48.30255446183007</x:v>
      </x:c>
      <x:c r="AD8" s="9" t="n">
        <x:f>IF(P8="",50,IF(MAX($P$4:$P$35)=MIN($P$4:$P$35),50,100-100*(LN(1+P8)-LN(1+MIN($P$4:$P$35)))/(LN(1+MAX($P$4:$P$35))-LN(1+MIN($P$4:$P$35)))))</x:f>
        <x:v>44.9839082722843</x:v>
      </x:c>
      <x:c r="AE8" s="9" t="n">
        <x:f>(R8*'Веса'!$B$7+S8*'Веса'!$B$8+T8*'Веса'!$B$9)/'Веса'!$B$26</x:f>
        <x:v>51.47678811262919</x:v>
      </x:c>
      <x:c r="AF8" s="9" t="n">
        <x:f>(U8*'Веса'!$B$10+V8*'Веса'!$B$11+W8*'Веса'!$B$12+X8*'Веса'!$B$13)/'Веса'!$B$27</x:f>
        <x:v>71.8300093028059</x:v>
      </x:c>
      <x:c r="AG8" s="9" t="n">
        <x:f>(Y8*'Веса'!$B$14+Z8*'Веса'!$B$15+AA8*'Веса'!$B$16)/'Веса'!$B$28</x:f>
        <x:v>79.99929820588267</x:v>
      </x:c>
      <x:c r="AH8" s="9" t="n">
        <x:f>(AB8*'Веса'!$B$17+AC8*'Веса'!$B$18)/'Веса'!$B$29</x:f>
        <x:v>24.53600833203146</x:v>
      </x:c>
      <x:c r="AI8" s="9" t="n">
        <x:f>AD8</x:f>
        <x:v>44.9839082722843</x:v>
      </x:c>
      <x:c r="AJ8" s="9" t="n">
        <x:f>(AE8*'Веса'!$B$26+AF8*'Веса'!$B$27+AG8*'Веса'!$B$28+AH8*'Веса'!$B$29+AI8*'Веса'!$B$30)/'Веса'!$B$22</x:f>
        <x:v>59.250873458747044</x:v>
      </x:c>
      <x:c r="AK8" s="9" t="n">
        <x:f>COUNTIF($AJ$4:$AJ$35,"&gt;"&amp;AJ8)+1</x:f>
        <x:v>5</x:v>
      </x:c>
      <x:c r="AL8" s="9" t="n">
        <x:f>MIN(100,50*AM8+25*IF(P8&lt;&gt;"",1,0)+25*IF(AN8="resort_or_complex_page",1,0))</x:f>
        <x:v>100</x:v>
      </x:c>
      <x:c r="AM8" s="35" t="n">
        <x:v>1</x:v>
      </x:c>
      <x:c r="AN8" s="2" t="str">
        <x:v>resort_or_complex_page</x:v>
      </x:c>
      <x:c r="AO8" s="2"/>
    </x:row>
    <x:row r="9">
      <x:c r="A9" s="2" t="str">
        <x:v>R006</x:v>
      </x:c>
      <x:c r="B9" s="2" t="str">
        <x:v>Домбай</x:v>
      </x:c>
      <x:c r="C9" s="2" t="str">
        <x:v>Карачаево-Черкесская Республика</x:v>
      </x:c>
      <x:c r="D9" s="34" t="n">
        <x:v>1303991</x:v>
      </x:c>
      <x:c r="E9" s="35" t="n">
        <x:v>0.86337135361145</x:v>
      </x:c>
      <x:c r="F9" s="9" t="n">
        <x:v>1.7480266351531568</x:v>
      </x:c>
      <x:c r="G9" s="9" t="n">
        <x:v>30</x:v>
      </x:c>
      <x:c r="H9" s="9" t="n">
        <x:v>13</x:v>
      </x:c>
      <x:c r="I9" s="9" t="n">
        <x:v>85</x:v>
      </x:c>
      <x:c r="J9" s="9" t="n">
        <x:v>63</x:v>
      </x:c>
      <x:c r="K9" s="9" t="n">
        <x:v>106.4</x:v>
      </x:c>
      <x:c r="L9" s="9" t="n">
        <x:v>86</x:v>
      </x:c>
      <x:c r="M9" s="9" t="n">
        <x:v>564.312</x:v>
      </x:c>
      <x:c r="N9" s="9" t="n">
        <x:v>136</x:v>
      </x:c>
      <x:c r="O9" s="9" t="n">
        <x:v>5</x:v>
      </x:c>
      <x:c r="P9" s="34"/>
      <x:c r="Q9" s="10" t="n">
        <x:v>0</x:v>
      </x:c>
      <x:c r="R9" s="9" t="n">
        <x:f>IF(D9="",50,IF(MAX($D$4:$D$35)=MIN($D$4:$D$35),50,100*(LN(1+D9)-LN(1+MIN($D$4:$D$35)))/(LN(1+MAX($D$4:$D$35))-LN(1+MIN($D$4:$D$35)))))</x:f>
        <x:v>39.869438863029494</x:v>
      </x:c>
      <x:c r="S9" s="9" t="n">
        <x:f>IF(E9="",50,MAX(0,MIN(100,50+200*E9)))</x:f>
        <x:v>100</x:v>
      </x:c>
      <x:c r="T9" s="9" t="n">
        <x:f>IF(F9="",50,MAX(0,MIN(100,(F9-1)/6*100)))</x:f>
        <x:v>12.467110585885948</x:v>
      </x:c>
      <x:c r="U9" s="9" t="n">
        <x:f>IF(MAX($G$4:$G$35)=MIN($G$4:$G$35),50,100*(LN(1+G9)-LN(1+MIN($G$4:$G$35)))/(LN(1+MAX($G$4:$G$35))-LN(1+MIN($G$4:$G$35))))</x:f>
        <x:v>59.06278136839854</x:v>
      </x:c>
      <x:c r="V9" s="9" t="n">
        <x:f>IF(MAX($H$4:$H$35)=MIN($H$4:$H$35),50,100*(LN(1+H9)-LN(1+MIN($H$4:$H$35)))/(LN(1+MAX($H$4:$H$35))-LN(1+MIN($H$4:$H$35))))</x:f>
        <x:v>63.22023231163305</x:v>
      </x:c>
      <x:c r="W9" s="9" t="n">
        <x:f>IF(MAX($I$4:$I$35)=MIN($I$4:$I$35),50,100*(LN(1+I9)-LN(1+MIN($I$4:$I$35)))/(LN(1+MAX($I$4:$I$35))-LN(1+MIN($I$4:$I$35))))</x:f>
        <x:v>80.32830943377621</x:v>
      </x:c>
      <x:c r="X9" s="9" t="n">
        <x:f>IF(MAX($J$4:$J$35)=MIN($J$4:$J$35),50,100*(LN(1+J9)-LN(1+MIN($J$4:$J$35)))/(LN(1+MAX($J$4:$J$35))-LN(1+MIN($J$4:$J$35))))</x:f>
        <x:v>71.27708628049453</x:v>
      </x:c>
      <x:c r="Y9" s="9" t="n">
        <x:f>IF(MAX($K$4:$K$35)=MIN($K$4:$K$35),50,100*(K9-MIN($K$4:$K$35))/(MAX($K$4:$K$35)-MIN($K$4:$K$35)))</x:f>
        <x:v>94.48529411764707</x:v>
      </x:c>
      <x:c r="Z9" s="9" t="n">
        <x:f>IF(MAX($L$4:$L$35)=MIN($L$4:$L$35),50,100*(L9-MIN($L$4:$L$35))/(MAX($L$4:$L$35)-MIN($L$4:$L$35)))</x:f>
        <x:v>44.302176696542894</x:v>
      </x:c>
      <x:c r="AA9" s="9" t="n">
        <x:f>IF(MAX($M$4:$M$35)=MIN($M$4:$M$35),50,100*(LN(1+M9)-LN(1+MIN($M$4:$M$35)))/(LN(1+MAX($M$4:$M$35))-LN(1+MIN($M$4:$M$35))))</x:f>
        <x:v>100</x:v>
      </x:c>
      <x:c r="AB9" s="9" t="n">
        <x:f>IF(MAX($N$4:$N$35)=MIN($N$4:$N$35),50,100-100*(LN(1+N9)-LN(1+MIN($N$4:$N$35)))/(LN(1+MAX($N$4:$N$35))-LN(1+MIN($N$4:$N$35))))</x:f>
        <x:v>11.669136004402631</x:v>
      </x:c>
      <x:c r="AC9" s="9" t="n">
        <x:f>IF(MAX($O$4:$O$35)=MIN($O$4:$O$35),50,100*(LN(1+O9)-LN(1+MIN($O$4:$O$35)))/(LN(1+MAX($O$4:$O$35))-LN(1+MIN($O$4:$O$35))))</x:f>
        <x:v>29.39322565597501</x:v>
      </x:c>
      <x:c r="AD9" s="9" t="n">
        <x:f>IF(P9="",50,IF(MAX($P$4:$P$35)=MIN($P$4:$P$35),50,100-100*(LN(1+P9)-LN(1+MIN($P$4:$P$35)))/(LN(1+MAX($P$4:$P$35))-LN(1+MIN($P$4:$P$35)))))</x:f>
        <x:v>50</x:v>
      </x:c>
      <x:c r="AE9" s="9" t="n">
        <x:f>(R9*'Веса'!$B$7+S9*'Веса'!$B$8+T9*'Веса'!$B$9)/'Веса'!$B$26</x:f>
        <x:v>51.47678811262919</x:v>
      </x:c>
      <x:c r="AF9" s="9" t="n">
        <x:f>(U9*'Веса'!$B$10+V9*'Веса'!$B$11+W9*'Веса'!$B$12+X9*'Веса'!$B$13)/'Веса'!$B$27</x:f>
        <x:v>65.94568983503126</x:v>
      </x:c>
      <x:c r="AG9" s="9" t="n">
        <x:f>(Y9*'Веса'!$B$14+Z9*'Веса'!$B$15+AA9*'Веса'!$B$16)/'Веса'!$B$28</x:f>
        <x:v>81.08477065602169</x:v>
      </x:c>
      <x:c r="AH9" s="9" t="n">
        <x:f>(AB9*'Веса'!$B$17+AC9*'Веса'!$B$18)/'Веса'!$B$29</x:f>
        <x:v>15.213953934717107</x:v>
      </x:c>
      <x:c r="AI9" s="9" t="n">
        <x:f>AD9</x:f>
        <x:v>50</x:v>
      </x:c>
      <x:c r="AJ9" s="9" t="n">
        <x:f>(AE9*'Веса'!$B$26+AF9*'Веса'!$B$27+AG9*'Веса'!$B$28+AH9*'Веса'!$B$29+AI9*'Веса'!$B$30)/'Веса'!$B$22</x:f>
        <x:v>57.31548722848554</x:v>
      </x:c>
      <x:c r="AK9" s="9" t="n">
        <x:f>COUNTIF($AJ$4:$AJ$35,"&gt;"&amp;AJ9)+1</x:f>
        <x:v>6</x:v>
      </x:c>
      <x:c r="AL9" s="9" t="n">
        <x:f>MIN(100,50*AM9+25*IF(P9&lt;&gt;"",1,0)+25*IF(AN9="resort_or_complex_page",1,0))</x:f>
        <x:v>75</x:v>
      </x:c>
      <x:c r="AM9" s="35" t="n">
        <x:v>1</x:v>
      </x:c>
      <x:c r="AN9" s="2" t="str">
        <x:v>resort_or_complex_page</x:v>
      </x:c>
      <x:c r="AO9" s="2"/>
    </x:row>
    <x:row r="10">
      <x:c r="A10" s="2" t="str">
        <x:v>R029</x:v>
      </x:c>
      <x:c r="B10" s="2" t="str">
        <x:v>Игора</x:v>
      </x:c>
      <x:c r="C10" s="2" t="str">
        <x:v>Ленинградская область</x:v>
      </x:c>
      <x:c r="D10" s="34" t="n">
        <x:v>8884916</x:v>
      </x:c>
      <x:c r="E10" s="35" t="n">
        <x:v>-0.00908052175164098</x:v>
      </x:c>
      <x:c r="F10" s="9" t="n">
        <x:v>3.873207805228547</x:v>
      </x:c>
      <x:c r="G10" s="9" t="n">
        <x:v>21</x:v>
      </x:c>
      <x:c r="H10" s="9" t="n">
        <x:v>9</x:v>
      </x:c>
      <x:c r="I10" s="9" t="n">
        <x:v>39</x:v>
      </x:c>
      <x:c r="J10" s="9" t="n">
        <x:v>40</x:v>
      </x:c>
      <x:c r="K10" s="9" t="n">
        <x:v>75.8</x:v>
      </x:c>
      <x:c r="L10" s="9" t="n">
        <x:v>112</x:v>
      </x:c>
      <x:c r="M10" s="9" t="n">
        <x:v>127.49799999999996</x:v>
      </x:c>
      <x:c r="N10" s="9" t="n">
        <x:v>79.5</x:v>
      </x:c>
      <x:c r="O10" s="9" t="n">
        <x:v>98</x:v>
      </x:c>
      <x:c r="P10" s="34"/>
      <x:c r="Q10" s="10" t="n">
        <x:v>0</x:v>
      </x:c>
      <x:c r="R10" s="9" t="n">
        <x:f>IF(D10="",50,IF(MAX($D$4:$D$35)=MIN($D$4:$D$35),50,100*(LN(1+D10)-LN(1+MIN($D$4:$D$35)))/(LN(1+MAX($D$4:$D$35))-LN(1+MIN($D$4:$D$35)))))</x:f>
        <x:v>80.42652452493574</x:v>
      </x:c>
      <x:c r="S10" s="9" t="n">
        <x:f>IF(E10="",50,MAX(0,MIN(100,50+200*E10)))</x:f>
        <x:v>48.183895649671804</x:v>
      </x:c>
      <x:c r="T10" s="9" t="n">
        <x:f>IF(F10="",50,MAX(0,MIN(100,(F10-1)/6*100)))</x:f>
        <x:v>47.886796753809115</x:v>
      </x:c>
      <x:c r="U10" s="9" t="n">
        <x:f>IF(MAX($G$4:$G$35)=MIN($G$4:$G$35),50,100*(LN(1+G10)-LN(1+MIN($G$4:$G$35)))/(LN(1+MAX($G$4:$G$35))-LN(1+MIN($G$4:$G$35))))</x:f>
        <x:v>53.164311266125495</x:v>
      </x:c>
      <x:c r="V10" s="9" t="n">
        <x:f>IF(MAX($H$4:$H$35)=MIN($H$4:$H$35),50,100*(LN(1+H10)-LN(1+MIN($H$4:$H$35)))/(LN(1+MAX($H$4:$H$35))-LN(1+MIN($H$4:$H$35))))</x:f>
        <x:v>55.159834105464114</x:v>
      </x:c>
      <x:c r="W10" s="9" t="n">
        <x:f>IF(MAX($I$4:$I$35)=MIN($I$4:$I$35),50,100*(LN(1+I10)-LN(1+MIN($I$4:$I$35)))/(LN(1+MAX($I$4:$I$35))-LN(1+MIN($I$4:$I$35))))</x:f>
        <x:v>66.52410118609203</x:v>
      </x:c>
      <x:c r="X10" s="9" t="n">
        <x:f>IF(MAX($J$4:$J$35)=MIN($J$4:$J$35),50,100*(LN(1+J10)-LN(1+MIN($J$4:$J$35)))/(LN(1+MAX($J$4:$J$35))-LN(1+MIN($J$4:$J$35))))</x:f>
        <x:v>63.64511608089994</x:v>
      </x:c>
      <x:c r="Y10" s="9" t="n">
        <x:f>IF(MAX($K$4:$K$35)=MIN($K$4:$K$35),50,100*(K10-MIN($K$4:$K$35))/(MAX($K$4:$K$35)-MIN($K$4:$K$35)))</x:f>
        <x:v>38.235294117647044</x:v>
      </x:c>
      <x:c r="Z10" s="9" t="n">
        <x:f>IF(MAX($L$4:$L$35)=MIN($L$4:$L$35),50,100*(L10-MIN($L$4:$L$35))/(MAX($L$4:$L$35)-MIN($L$4:$L$35)))</x:f>
        <x:v>60.94750320102433</x:v>
      </x:c>
      <x:c r="AA10" s="9" t="n">
        <x:f>IF(MAX($M$4:$M$35)=MIN($M$4:$M$35),50,100*(LN(1+M10)-LN(1+MIN($M$4:$M$35)))/(LN(1+MAX($M$4:$M$35))-LN(1+MIN($M$4:$M$35))))</x:f>
        <x:v>26.5796760025828</x:v>
      </x:c>
      <x:c r="AB10" s="9" t="n">
        <x:f>IF(MAX($N$4:$N$35)=MIN($N$4:$N$35),50,100-100*(LN(1+N10)-LN(1+MIN($N$4:$N$35)))/(LN(1+MAX($N$4:$N$35))-LN(1+MIN($N$4:$N$35))))</x:f>
        <x:v>23.516274117738902</x:v>
      </x:c>
      <x:c r="AC10" s="9" t="n">
        <x:f>IF(MAX($O$4:$O$35)=MIN($O$4:$O$35),50,100*(LN(1+O10)-LN(1+MIN($O$4:$O$35)))/(LN(1+MAX($O$4:$O$35))-LN(1+MIN($O$4:$O$35))))</x:f>
        <x:v>75.38143204536621</x:v>
      </x:c>
      <x:c r="AD10" s="9" t="n">
        <x:f>IF(P10="",50,IF(MAX($P$4:$P$35)=MIN($P$4:$P$35),50,100-100*(LN(1+P10)-LN(1+MIN($P$4:$P$35)))/(LN(1+MAX($P$4:$P$35))-LN(1+MIN($P$4:$P$35)))))</x:f>
        <x:v>50</x:v>
      </x:c>
      <x:c r="AE10" s="9" t="n">
        <x:f>(R10*'Веса'!$B$7+S10*'Веса'!$B$8+T10*'Веса'!$B$9)/'Веса'!$B$26</x:f>
        <x:v>68.29840133472892</x:v>
      </x:c>
      <x:c r="AF10" s="9" t="n">
        <x:f>(U10*'Веса'!$B$10+V10*'Веса'!$B$11+W10*'Веса'!$B$12+X10*'Веса'!$B$13)/'Веса'!$B$27</x:f>
        <x:v>57.65271222290655</x:v>
      </x:c>
      <x:c r="AG10" s="9" t="n">
        <x:f>(Y10*'Веса'!$B$14+Z10*'Веса'!$B$15+AA10*'Веса'!$B$16)/'Веса'!$B$28</x:f>
        <x:v>41.55227140814095</x:v>
      </x:c>
      <x:c r="AH10" s="9" t="n">
        <x:f>(AB10*'Веса'!$B$17+AC10*'Веса'!$B$18)/'Веса'!$B$29</x:f>
        <x:v>33.88930570326436</x:v>
      </x:c>
      <x:c r="AI10" s="9" t="n">
        <x:f>AD10</x:f>
        <x:v>50</x:v>
      </x:c>
      <x:c r="AJ10" s="9" t="n">
        <x:f>(AE10*'Веса'!$B$26+AF10*'Веса'!$B$27+AG10*'Веса'!$B$28+AH10*'Веса'!$B$29+AI10*'Веса'!$B$30)/'Веса'!$B$22</x:f>
        <x:v>55.931923441572835</x:v>
      </x:c>
      <x:c r="AK10" s="9" t="n">
        <x:f>COUNTIF($AJ$4:$AJ$35,"&gt;"&amp;AJ10)+1</x:f>
        <x:v>7</x:v>
      </x:c>
      <x:c r="AL10" s="9" t="n">
        <x:f>MIN(100,50*AM10+25*IF(P10&lt;&gt;"",1,0)+25*IF(AN10="resort_or_complex_page",1,0))</x:f>
        <x:v>50</x:v>
      </x:c>
      <x:c r="AM10" s="35" t="n">
        <x:v>1</x:v>
      </x:c>
      <x:c r="AN10" s="2" t="str">
        <x:v>nearby_feature_proxy</x:v>
      </x:c>
      <x:c r="AO10" s="2" t="str">
        <x:v>coordinates are proxy</x:v>
      </x:c>
    </x:row>
    <x:row r="11">
      <x:c r="A11" s="2" t="str">
        <x:v>R004</x:v>
      </x:c>
      <x:c r="B11" s="2" t="str">
        <x:v>Шерегеш</x:v>
      </x:c>
      <x:c r="C11" s="2" t="str">
        <x:v>Кемеровская область</x:v>
      </x:c>
      <x:c r="D11" s="34" t="n">
        <x:v>1266539</x:v>
      </x:c>
      <x:c r="E11" s="35" t="n">
        <x:v>-0.1262862133382634</x:v>
      </x:c>
      <x:c r="F11" s="9" t="n">
        <x:v>4.808108554099006</x:v>
      </x:c>
      <x:c r="G11" s="9" t="n">
        <x:v>142</x:v>
      </x:c>
      <x:c r="H11" s="9" t="n">
        <x:v>23</x:v>
      </x:c>
      <x:c r="I11" s="9" t="n">
        <x:v>233</x:v>
      </x:c>
      <x:c r="J11" s="9" t="n">
        <x:v>61</x:v>
      </x:c>
      <x:c r="K11" s="9" t="n">
        <x:v>93.2</x:v>
      </x:c>
      <x:c r="L11" s="9" t="n">
        <x:v>151.6</x:v>
      </x:c>
      <x:c r="M11" s="9" t="n">
        <x:v>243.92199999999994</x:v>
      </x:c>
      <x:c r="N11" s="9" t="n">
        <x:v>119.2</x:v>
      </x:c>
      <x:c r="O11" s="9" t="n">
        <x:v>54</x:v>
      </x:c>
      <x:c r="P11" s="34"/>
      <x:c r="Q11" s="10" t="n">
        <x:v>0</x:v>
      </x:c>
      <x:c r="R11" s="9" t="n">
        <x:f>IF(D11="",50,IF(MAX($D$4:$D$35)=MIN($D$4:$D$35),50,100*(LN(1+D11)-LN(1+MIN($D$4:$D$35)))/(LN(1+MAX($D$4:$D$35))-LN(1+MIN($D$4:$D$35)))))</x:f>
        <x:v>39.25352282188757</x:v>
      </x:c>
      <x:c r="S11" s="9" t="n">
        <x:f>IF(E11="",50,MAX(0,MIN(100,50+200*E11)))</x:f>
        <x:v>24.74275733234732</x:v>
      </x:c>
      <x:c r="T11" s="9" t="n">
        <x:f>IF(F11="",50,MAX(0,MIN(100,(F11-1)/6*100)))</x:f>
        <x:v>63.46847590165009</x:v>
      </x:c>
      <x:c r="U11" s="9" t="n">
        <x:f>IF(MAX($G$4:$G$35)=MIN($G$4:$G$35),50,100*(LN(1+G11)-LN(1+MIN($G$4:$G$35)))/(LN(1+MAX($G$4:$G$35))-LN(1+MIN($G$4:$G$35))))</x:f>
        <x:v>85.35832835356142</x:v>
      </x:c>
      <x:c r="V11" s="9" t="n">
        <x:f>IF(MAX($H$4:$H$35)=MIN($H$4:$H$35),50,100*(LN(1+H11)-LN(1+MIN($H$4:$H$35)))/(LN(1+MAX($H$4:$H$35))-LN(1+MIN($H$4:$H$35))))</x:f>
        <x:v>76.13222312330883</x:v>
      </x:c>
      <x:c r="W11" s="9" t="n">
        <x:f>IF(MAX($I$4:$I$35)=MIN($I$4:$I$35),50,100*(LN(1+I11)-LN(1+MIN($I$4:$I$35)))/(LN(1+MAX($I$4:$I$35))-LN(1+MIN($I$4:$I$35))))</x:f>
        <x:v>98.37955899479256</x:v>
      </x:c>
      <x:c r="X11" s="9" t="n">
        <x:f>IF(MAX($J$4:$J$35)=MIN($J$4:$J$35),50,100*(LN(1+J11)-LN(1+MIN($J$4:$J$35)))/(LN(1+MAX($J$4:$J$35))-LN(1+MIN($J$4:$J$35))))</x:f>
        <x:v>70.73296069107458</x:v>
      </x:c>
      <x:c r="Y11" s="9" t="n">
        <x:f>IF(MAX($K$4:$K$35)=MIN($K$4:$K$35),50,100*(K11-MIN($K$4:$K$35))/(MAX($K$4:$K$35)-MIN($K$4:$K$35)))</x:f>
        <x:v>70.22058823529412</x:v>
      </x:c>
      <x:c r="Z11" s="9" t="n">
        <x:f>IF(MAX($L$4:$L$35)=MIN($L$4:$L$35),50,100*(L11-MIN($L$4:$L$35))/(MAX($L$4:$L$35)-MIN($L$4:$L$35)))</x:f>
        <x:v>86.29961587708065</x:v>
      </x:c>
      <x:c r="AA11" s="9" t="n">
        <x:f>IF(MAX($M$4:$M$35)=MIN($M$4:$M$35),50,100*(LN(1+M11)-LN(1+MIN($M$4:$M$35)))/(LN(1+MAX($M$4:$M$35))-LN(1+MIN($M$4:$M$35))))</x:f>
        <x:v>58.54672799203451</x:v>
      </x:c>
      <x:c r="AB11" s="9" t="n">
        <x:f>IF(MAX($N$4:$N$35)=MIN($N$4:$N$35),50,100-100*(LN(1+N11)-LN(1+MIN($N$4:$N$35)))/(LN(1+MAX($N$4:$N$35))-LN(1+MIN($N$4:$N$35))))</x:f>
        <x:v>14.58397454798262</x:v>
      </x:c>
      <x:c r="AC11" s="9" t="n">
        <x:f>IF(MAX($O$4:$O$35)=MIN($O$4:$O$35),50,100*(LN(1+O11)-LN(1+MIN($O$4:$O$35)))/(LN(1+MAX($O$4:$O$35))-LN(1+MIN($O$4:$O$35))))</x:f>
        <x:v>65.73898484430056</x:v>
      </x:c>
      <x:c r="AD11" s="9" t="n">
        <x:f>IF(P11="",50,IF(MAX($P$4:$P$35)=MIN($P$4:$P$35),50,100-100*(LN(1+P11)-LN(1+MIN($P$4:$P$35)))/(LN(1+MAX($P$4:$P$35))-LN(1+MIN($P$4:$P$35)))))</x:f>
        <x:v>50</x:v>
      </x:c>
      <x:c r="AE11" s="9" t="n">
        <x:f>(R11*'Веса'!$B$7+S11*'Веса'!$B$8+T11*'Веса'!$B$9)/'Веса'!$B$26</x:f>
        <x:v>38.652700584472825</x:v>
      </x:c>
      <x:c r="AF11" s="9" t="n">
        <x:f>(U11*'Веса'!$B$10+V11*'Веса'!$B$11+W11*'Веса'!$B$12+X11*'Веса'!$B$13)/'Веса'!$B$27</x:f>
        <x:v>83.6242208978385</x:v>
      </x:c>
      <x:c r="AG11" s="9" t="n">
        <x:f>(Y11*'Веса'!$B$14+Z11*'Веса'!$B$15+AA11*'Веса'!$B$16)/'Веса'!$B$28</x:f>
        <x:v>71.54213845485219</x:v>
      </x:c>
      <x:c r="AH11" s="9" t="n">
        <x:f>(AB11*'Веса'!$B$17+AC11*'Веса'!$B$18)/'Веса'!$B$29</x:f>
        <x:v>24.81497660724621</x:v>
      </x:c>
      <x:c r="AI11" s="9" t="n">
        <x:f>AD11</x:f>
        <x:v>50</x:v>
      </x:c>
      <x:c r="AJ11" s="9" t="n">
        <x:f>(AE11*'Веса'!$B$26+AF11*'Веса'!$B$27+AG11*'Веса'!$B$28+AH11*'Веса'!$B$29+AI11*'Веса'!$B$30)/'Веса'!$B$22</x:f>
        <x:v>55.657060809943815</x:v>
      </x:c>
      <x:c r="AK11" s="9" t="n">
        <x:f>COUNTIF($AJ$4:$AJ$35,"&gt;"&amp;AJ11)+1</x:f>
        <x:v>8</x:v>
      </x:c>
      <x:c r="AL11" s="9" t="n">
        <x:f>MIN(100,50*AM11+25*IF(P11&lt;&gt;"",1,0)+25*IF(AN11="resort_or_complex_page",1,0))</x:f>
        <x:v>75</x:v>
      </x:c>
      <x:c r="AM11" s="35" t="n">
        <x:v>1</x:v>
      </x:c>
      <x:c r="AN11" s="2" t="str">
        <x:v>resort_or_complex_page</x:v>
      </x:c>
      <x:c r="AO11" s="2"/>
    </x:row>
    <x:row r="12">
      <x:c r="A12" s="2" t="str">
        <x:v>R016</x:v>
      </x:c>
      <x:c r="B12" s="2" t="str">
        <x:v>Горный воздух</x:v>
      </x:c>
      <x:c r="C12" s="2" t="str">
        <x:v>Сахалинская область</x:v>
      </x:c>
      <x:c r="D12" s="34" t="n">
        <x:v>348282</x:v>
      </x:c>
      <x:c r="E12" s="35" t="n">
        <x:v>0.2026935096776421</x:v>
      </x:c>
      <x:c r="F12" s="9" t="n">
        <x:v>3.51590952159457</x:v>
      </x:c>
      <x:c r="G12" s="9" t="n">
        <x:v>54</x:v>
      </x:c>
      <x:c r="H12" s="9" t="n">
        <x:v>7</x:v>
      </x:c>
      <x:c r="I12" s="9" t="n">
        <x:v>51</x:v>
      </x:c>
      <x:c r="J12" s="9" t="n">
        <x:v>221</x:v>
      </x:c>
      <x:c r="K12" s="9" t="n">
        <x:v>81.8</x:v>
      </x:c>
      <x:c r="L12" s="9" t="n">
        <x:v>150.8</x:v>
      </x:c>
      <x:c r="M12" s="9" t="n">
        <x:v>204.32999999999996</x:v>
      </x:c>
      <x:c r="N12" s="9" t="n">
        <x:v>9.5</x:v>
      </x:c>
      <x:c r="O12" s="9" t="n">
        <x:v>268</x:v>
      </x:c>
      <x:c r="P12" s="34"/>
      <x:c r="Q12" s="10" t="n">
        <x:v>0</x:v>
      </x:c>
      <x:c r="R12" s="9" t="n">
        <x:f>IF(D12="",50,IF(MAX($D$4:$D$35)=MIN($D$4:$D$35),50,100*(LN(1+D12)-LN(1+MIN($D$4:$D$35)))/(LN(1+MAX($D$4:$D$35))-LN(1+MIN($D$4:$D$35)))))</x:f>
        <x:v>11.967221046670426</x:v>
      </x:c>
      <x:c r="S12" s="9" t="n">
        <x:f>IF(E12="",50,MAX(0,MIN(100,50+200*E12)))</x:f>
        <x:v>90.53870193552842</x:v>
      </x:c>
      <x:c r="T12" s="9" t="n">
        <x:f>IF(F12="",50,MAX(0,MIN(100,(F12-1)/6*100)))</x:f>
        <x:v>41.931825359909496</x:v>
      </x:c>
      <x:c r="U12" s="9" t="n">
        <x:f>IF(MAX($G$4:$G$35)=MIN($G$4:$G$35),50,100*(LN(1+G12)-LN(1+MIN($G$4:$G$35)))/(LN(1+MAX($G$4:$G$35))-LN(1+MIN($G$4:$G$35))))</x:f>
        <x:v>68.92403194763779</x:v>
      </x:c>
      <x:c r="V12" s="9" t="n">
        <x:f>IF(MAX($H$4:$H$35)=MIN($H$4:$H$35),50,100*(LN(1+H12)-LN(1+MIN($H$4:$H$35)))/(LN(1+MAX($H$4:$H$35))-LN(1+MIN($H$4:$H$35))))</x:f>
        <x:v>49.81429386478135</x:v>
      </x:c>
      <x:c r="W12" s="9" t="n">
        <x:f>IF(MAX($I$4:$I$35)=MIN($I$4:$I$35),50,100*(LN(1+I12)-LN(1+MIN($I$4:$I$35)))/(LN(1+MAX($I$4:$I$35))-LN(1+MIN($I$4:$I$35))))</x:f>
        <x:v>71.25549647676365</x:v>
      </x:c>
      <x:c r="X12" s="9" t="n">
        <x:f>IF(MAX($J$4:$J$35)=MIN($J$4:$J$35),50,100*(LN(1+J12)-LN(1+MIN($J$4:$J$35)))/(LN(1+MAX($J$4:$J$35))-LN(1+MIN($J$4:$J$35))))</x:f>
        <x:v>92.59387536864867</x:v>
      </x:c>
      <x:c r="Y12" s="9" t="n">
        <x:f>IF(MAX($K$4:$K$35)=MIN($K$4:$K$35),50,100*(K12-MIN($K$4:$K$35))/(MAX($K$4:$K$35)-MIN($K$4:$K$35)))</x:f>
        <x:v>49.26470588235293</x:v>
      </x:c>
      <x:c r="Z12" s="9" t="n">
        <x:f>IF(MAX($L$4:$L$35)=MIN($L$4:$L$35),50,100*(L12-MIN($L$4:$L$35))/(MAX($L$4:$L$35)-MIN($L$4:$L$35)))</x:f>
        <x:v>85.78745198463508</x:v>
      </x:c>
      <x:c r="AA12" s="9" t="n">
        <x:f>IF(MAX($M$4:$M$35)=MIN($M$4:$M$35),50,100*(LN(1+M12)-LN(1+MIN($M$4:$M$35)))/(LN(1+MAX($M$4:$M$35))-LN(1+MIN($M$4:$M$35))))</x:f>
        <x:v>49.808367278703564</x:v>
      </x:c>
      <x:c r="AB12" s="9" t="n">
        <x:f>IF(MAX($N$4:$N$35)=MIN($N$4:$N$35),50,100-100*(LN(1+N12)-LN(1+MIN($N$4:$N$35)))/(LN(1+MAX($N$4:$N$35))-LN(1+MIN($N$4:$N$35))))</x:f>
        <x:v>68.89927967833347</x:v>
      </x:c>
      <x:c r="AC12" s="9" t="n">
        <x:f>IF(MAX($O$4:$O$35)=MIN($O$4:$O$35),50,100*(LN(1+O12)-LN(1+MIN($O$4:$O$35)))/(LN(1+MAX($O$4:$O$35))-LN(1+MIN($O$4:$O$35))))</x:f>
        <x:v>91.77940280764179</x:v>
      </x:c>
      <x:c r="AD12" s="9" t="n">
        <x:f>IF(P12="",50,IF(MAX($P$4:$P$35)=MIN($P$4:$P$35),50,100-100*(LN(1+P12)-LN(1+MIN($P$4:$P$35)))/(LN(1+MAX($P$4:$P$35))-LN(1+MIN($P$4:$P$35)))))</x:f>
        <x:v>50</x:v>
      </x:c>
      <x:c r="AE12" s="9" t="n">
        <x:f>(R12*'Веса'!$B$7+S12*'Веса'!$B$8+T12*'Веса'!$B$9)/'Веса'!$B$26</x:f>
        <x:v>35.35566680803981</x:v>
      </x:c>
      <x:c r="AF12" s="9" t="n">
        <x:f>(U12*'Веса'!$B$10+V12*'Веса'!$B$11+W12*'Веса'!$B$12+X12*'Веса'!$B$13)/'Веса'!$B$27</x:f>
        <x:v>66.87997940078446</x:v>
      </x:c>
      <x:c r="AG12" s="9" t="n">
        <x:f>(Y12*'Веса'!$B$14+Z12*'Веса'!$B$15+AA12*'Веса'!$B$16)/'Веса'!$B$28</x:f>
        <x:v>60.38462813194276</x:v>
      </x:c>
      <x:c r="AH12" s="9" t="n">
        <x:f>(AB12*'Веса'!$B$17+AC12*'Веса'!$B$18)/'Веса'!$B$29</x:f>
        <x:v>73.47530430419513</x:v>
      </x:c>
      <x:c r="AI12" s="9" t="n">
        <x:f>AD12</x:f>
        <x:v>50</x:v>
      </x:c>
      <x:c r="AJ12" s="9" t="n">
        <x:f>(AE12*'Веса'!$B$26+AF12*'Веса'!$B$27+AG12*'Веса'!$B$28+AH12*'Веса'!$B$29+AI12*'Веса'!$B$30)/'Веса'!$B$22</x:f>
        <x:v>52.78671763022011</x:v>
      </x:c>
      <x:c r="AK12" s="9" t="n">
        <x:f>COUNTIF($AJ$4:$AJ$35,"&gt;"&amp;AJ12)+1</x:f>
        <x:v>9</x:v>
      </x:c>
      <x:c r="AL12" s="9" t="n">
        <x:f>MIN(100,50*AM12+25*IF(P12&lt;&gt;"",1,0)+25*IF(AN12="resort_or_complex_page",1,0))</x:f>
        <x:v>45.45454545454545</x:v>
      </x:c>
      <x:c r="AM12" s="35" t="n">
        <x:v>0.9090909090909091</x:v>
      </x:c>
      <x:c r="AN12" s="2" t="str">
        <x:v>manual_review_required</x:v>
      </x:c>
      <x:c r="AO12" s="2" t="str">
        <x:v>check coordinates</x:v>
      </x:c>
    </x:row>
    <x:row r="13">
      <x:c r="A13" s="2" t="str">
        <x:v>R019</x:v>
      </x:c>
      <x:c r="B13" s="2" t="str">
        <x:v>Бобровый лог</x:v>
      </x:c>
      <x:c r="C13" s="2" t="str">
        <x:v>Красноярский край</x:v>
      </x:c>
      <x:c r="D13" s="34" t="n">
        <x:v>1887725</x:v>
      </x:c>
      <x:c r="E13" s="35" t="n">
        <x:v>-0.02333624788522526</x:v>
      </x:c>
      <x:c r="F13" s="9" t="n">
        <x:v>3.663532559032698</x:v>
      </x:c>
      <x:c r="G13" s="9" t="n">
        <x:v>23</x:v>
      </x:c>
      <x:c r="H13" s="9" t="n">
        <x:v>7</x:v>
      </x:c>
      <x:c r="I13" s="9" t="n">
        <x:v>36</x:v>
      </x:c>
      <x:c r="J13" s="9" t="n">
        <x:v>115</x:v>
      </x:c>
      <x:c r="K13" s="9" t="n">
        <x:v>83.6</x:v>
      </x:c>
      <x:c r="L13" s="9" t="n">
        <x:v>139.8</x:v>
      </x:c>
      <x:c r="M13" s="9" t="n">
        <x:v>93.11399999999999</x:v>
      </x:c>
      <x:c r="N13" s="9" t="n">
        <x:v>28.6</x:v>
      </x:c>
      <x:c r="O13" s="9" t="n">
        <x:v>443</x:v>
      </x:c>
      <x:c r="P13" s="34"/>
      <x:c r="Q13" s="10" t="n">
        <x:v>0</x:v>
      </x:c>
      <x:c r="R13" s="9" t="n">
        <x:f>IF(D13="",50,IF(MAX($D$4:$D$35)=MIN($D$4:$D$35),50,100*(LN(1+D13)-LN(1+MIN($D$4:$D$35)))/(LN(1+MAX($D$4:$D$35))-LN(1+MIN($D$4:$D$35)))))</x:f>
        <x:v>47.688293384106146</x:v>
      </x:c>
      <x:c r="S13" s="9" t="n">
        <x:f>IF(E13="",50,MAX(0,MIN(100,50+200*E13)))</x:f>
        <x:v>45.332750422954945</x:v>
      </x:c>
      <x:c r="T13" s="9" t="n">
        <x:f>IF(F13="",50,MAX(0,MIN(100,(F13-1)/6*100)))</x:f>
        <x:v>44.39220931721163</x:v>
      </x:c>
      <x:c r="U13" s="9" t="n">
        <x:f>IF(MAX($G$4:$G$35)=MIN($G$4:$G$35),50,100*(LN(1+G13)-LN(1+MIN($G$4:$G$35)))/(LN(1+MAX($G$4:$G$35))-LN(1+MIN($G$4:$G$35))))</x:f>
        <x:v>54.66086137819044</x:v>
      </x:c>
      <x:c r="V13" s="9" t="n">
        <x:f>IF(MAX($H$4:$H$35)=MIN($H$4:$H$35),50,100*(LN(1+H13)-LN(1+MIN($H$4:$H$35)))/(LN(1+MAX($H$4:$H$35))-LN(1+MIN($H$4:$H$35))))</x:f>
        <x:v>49.81429386478135</x:v>
      </x:c>
      <x:c r="W13" s="9" t="n">
        <x:f>IF(MAX($I$4:$I$35)=MIN($I$4:$I$35),50,100*(LN(1+I13)-LN(1+MIN($I$4:$I$35)))/(LN(1+MAX($I$4:$I$35))-LN(1+MIN($I$4:$I$35))))</x:f>
        <x:v>65.11816707036188</x:v>
      </x:c>
      <x:c r="X13" s="9" t="n">
        <x:f>IF(MAX($J$4:$J$35)=MIN($J$4:$J$35),50,100*(LN(1+J13)-LN(1+MIN($J$4:$J$35)))/(LN(1+MAX($J$4:$J$35))-LN(1+MIN($J$4:$J$35))))</x:f>
        <x:v>81.46948384994995</x:v>
      </x:c>
      <x:c r="Y13" s="9" t="n">
        <x:f>IF(MAX($K$4:$K$35)=MIN($K$4:$K$35),50,100*(K13-MIN($K$4:$K$35))/(MAX($K$4:$K$35)-MIN($K$4:$K$35)))</x:f>
        <x:v>52.57352941176469</x:v>
      </x:c>
      <x:c r="Z13" s="9" t="n">
        <x:f>IF(MAX($L$4:$L$35)=MIN($L$4:$L$35),50,100*(L13-MIN($L$4:$L$35))/(MAX($L$4:$L$35)-MIN($L$4:$L$35)))</x:f>
        <x:v>78.74519846350834</x:v>
      </x:c>
      <x:c r="AA13" s="9" t="n">
        <x:f>IF(MAX($M$4:$M$35)=MIN($M$4:$M$35),50,100*(LN(1+M13)-LN(1+MIN($M$4:$M$35)))/(LN(1+MAX($M$4:$M$35))-LN(1+MIN($M$4:$M$35))))</x:f>
        <x:v>11.146590139418995</x:v>
      </x:c>
      <x:c r="AB13" s="9" t="n">
        <x:f>IF(MAX($N$4:$N$35)=MIN($N$4:$N$35),50,100-100*(LN(1+N13)-LN(1+MIN($N$4:$N$35)))/(LN(1+MAX($N$4:$N$35))-LN(1+MIN($N$4:$N$35))))</x:f>
        <x:v>45.8076582751075</x:v>
      </x:c>
      <x:c r="AC13" s="9" t="n">
        <x:f>IF(MAX($O$4:$O$35)=MIN($O$4:$O$35),50,100*(LN(1+O13)-LN(1+MIN($O$4:$O$35)))/(LN(1+MAX($O$4:$O$35))-LN(1+MIN($O$4:$O$35))))</x:f>
        <x:v>100</x:v>
      </x:c>
      <x:c r="AD13" s="9" t="n">
        <x:f>IF(P13="",50,IF(MAX($P$4:$P$35)=MIN($P$4:$P$35),50,100-100*(LN(1+P13)-LN(1+MIN($P$4:$P$35)))/(LN(1+MAX($P$4:$P$35))-LN(1+MIN($P$4:$P$35)))))</x:f>
        <x:v>50</x:v>
      </x:c>
      <x:c r="AE13" s="9" t="n">
        <x:f>(R13*'Веса'!$B$7+S13*'Веса'!$B$8+T13*'Веса'!$B$9)/'Веса'!$B$26</x:f>
        <x:v>46.687397135456536</x:v>
      </x:c>
      <x:c r="AF13" s="9" t="n">
        <x:f>(U13*'Веса'!$B$10+V13*'Веса'!$B$11+W13*'Веса'!$B$12+X13*'Веса'!$B$13)/'Веса'!$B$27</x:f>
        <x:v>58.612318309481324</x:v>
      </x:c>
      <x:c r="AG13" s="9" t="n">
        <x:f>(Y13*'Веса'!$B$14+Z13*'Веса'!$B$15+AA13*'Веса'!$B$16)/'Веса'!$B$28</x:f>
        <x:v>47.99694834558407</x:v>
      </x:c>
      <x:c r="AH13" s="9" t="n">
        <x:f>(AB13*'Веса'!$B$17+AC13*'Веса'!$B$18)/'Веса'!$B$29</x:f>
        <x:v>56.646126620086</x:v>
      </x:c>
      <x:c r="AI13" s="9" t="n">
        <x:f>AD13</x:f>
        <x:v>50</x:v>
      </x:c>
      <x:c r="AJ13" s="9" t="n">
        <x:f>(AE13*'Веса'!$B$26+AF13*'Веса'!$B$27+AG13*'Веса'!$B$28+AH13*'Веса'!$B$29+AI13*'Веса'!$B$30)/'Веса'!$B$22</x:f>
        <x:v>51.09204076267836</x:v>
      </x:c>
      <x:c r="AK13" s="9" t="n">
        <x:f>COUNTIF($AJ$4:$AJ$35,"&gt;"&amp;AJ13)+1</x:f>
        <x:v>10</x:v>
      </x:c>
      <x:c r="AL13" s="9" t="n">
        <x:f>MIN(100,50*AM13+25*IF(P13&lt;&gt;"",1,0)+25*IF(AN13="resort_or_complex_page",1,0))</x:f>
        <x:v>45.45454545454545</x:v>
      </x:c>
      <x:c r="AM13" s="35" t="n">
        <x:v>0.9090909090909091</x:v>
      </x:c>
      <x:c r="AN13" s="2" t="str">
        <x:v>manual_review_required</x:v>
      </x:c>
      <x:c r="AO13" s="2" t="str">
        <x:v>check coordinates</x:v>
      </x:c>
    </x:row>
    <x:row r="14">
      <x:c r="A14" s="2" t="str">
        <x:v>R028</x:v>
      </x:c>
      <x:c r="B14" s="2" t="str">
        <x:v>Губаха</x:v>
      </x:c>
      <x:c r="C14" s="2" t="str">
        <x:v>Пермский край</x:v>
      </x:c>
      <x:c r="D14" s="34" t="n">
        <x:v>1450658</x:v>
      </x:c>
      <x:c r="E14" s="35" t="n">
        <x:v>-0.020511979106531464</x:v>
      </x:c>
      <x:c r="F14" s="9" t="n">
        <x:v>3.5232914994437006</x:v>
      </x:c>
      <x:c r="G14" s="9" t="n">
        <x:v>19</x:v>
      </x:c>
      <x:c r="H14" s="9" t="n">
        <x:v>9</x:v>
      </x:c>
      <x:c r="I14" s="9" t="n">
        <x:v>17</x:v>
      </x:c>
      <x:c r="J14" s="9" t="n">
        <x:v>36</x:v>
      </x:c>
      <x:c r="K14" s="9" t="n">
        <x:v>104.6</x:v>
      </x:c>
      <x:c r="L14" s="9" t="n">
        <x:v>142.8</x:v>
      </x:c>
      <x:c r="M14" s="9" t="n">
        <x:v>214.99799999999996</x:v>
      </x:c>
      <x:c r="N14" s="9" t="n">
        <x:v>136.5</x:v>
      </x:c>
      <x:c r="O14" s="9" t="n">
        <x:v>50</x:v>
      </x:c>
      <x:c r="P14" s="34"/>
      <x:c r="Q14" s="10" t="n">
        <x:v>0</x:v>
      </x:c>
      <x:c r="R14" s="9" t="n">
        <x:f>IF(D14="",50,IF(MAX($D$4:$D$35)=MIN($D$4:$D$35),50,100*(LN(1+D14)-LN(1+MIN($D$4:$D$35)))/(LN(1+MAX($D$4:$D$35))-LN(1+MIN($D$4:$D$35)))))</x:f>
        <x:v>42.12220183958069</x:v>
      </x:c>
      <x:c r="S14" s="9" t="n">
        <x:f>IF(E14="",50,MAX(0,MIN(100,50+200*E14)))</x:f>
        <x:v>45.897604178693705</x:v>
      </x:c>
      <x:c r="T14" s="9" t="n">
        <x:f>IF(F14="",50,MAX(0,MIN(100,(F14-1)/6*100)))</x:f>
        <x:v>42.05485832406168</x:v>
      </x:c>
      <x:c r="U14" s="9" t="n">
        <x:f>IF(MAX($G$4:$G$35)=MIN($G$4:$G$35),50,100*(LN(1+G14)-LN(1+MIN($G$4:$G$35)))/(LN(1+MAX($G$4:$G$35))-LN(1+MIN($G$4:$G$35))))</x:f>
        <x:v>51.52502609214081</x:v>
      </x:c>
      <x:c r="V14" s="9" t="n">
        <x:f>IF(MAX($H$4:$H$35)=MIN($H$4:$H$35),50,100*(LN(1+H14)-LN(1+MIN($H$4:$H$35)))/(LN(1+MAX($H$4:$H$35))-LN(1+MIN($H$4:$H$35))))</x:f>
        <x:v>55.159834105464114</x:v>
      </x:c>
      <x:c r="W14" s="9" t="n">
        <x:f>IF(MAX($I$4:$I$35)=MIN($I$4:$I$35),50,100*(LN(1+I14)-LN(1+MIN($I$4:$I$35)))/(LN(1+MAX($I$4:$I$35))-LN(1+MIN($I$4:$I$35))))</x:f>
        <x:v>52.12406251802891</x:v>
      </x:c>
      <x:c r="X14" s="9" t="n">
        <x:f>IF(MAX($J$4:$J$35)=MIN($J$4:$J$35),50,100*(LN(1+J14)-LN(1+MIN($J$4:$J$35)))/(LN(1+MAX($J$4:$J$35))-LN(1+MIN($J$4:$J$35))))</x:f>
        <x:v>61.88577616935788</x:v>
      </x:c>
      <x:c r="Y14" s="9" t="n">
        <x:f>IF(MAX($K$4:$K$35)=MIN($K$4:$K$35),50,100*(K14-MIN($K$4:$K$35))/(MAX($K$4:$K$35)-MIN($K$4:$K$35)))</x:f>
        <x:v>91.17647058823526</x:v>
      </x:c>
      <x:c r="Z14" s="9" t="n">
        <x:f>IF(MAX($L$4:$L$35)=MIN($L$4:$L$35),50,100*(L14-MIN($L$4:$L$35))/(MAX($L$4:$L$35)-MIN($L$4:$L$35)))</x:f>
        <x:v>80.66581306017927</x:v>
      </x:c>
      <x:c r="AA14" s="9" t="n">
        <x:f>IF(MAX($M$4:$M$35)=MIN($M$4:$M$35),50,100*(LN(1+M14)-LN(1+MIN($M$4:$M$35)))/(LN(1+MAX($M$4:$M$35))-LN(1+MIN($M$4:$M$35))))</x:f>
        <x:v>52.31858029548714</x:v>
      </x:c>
      <x:c r="AB14" s="9" t="n">
        <x:f>IF(MAX($N$4:$N$35)=MIN($N$4:$N$35),50,100-100*(LN(1+N14)-LN(1+MIN($N$4:$N$35)))/(LN(1+MAX($N$4:$N$35))-LN(1+MIN($N$4:$N$35))))</x:f>
        <x:v>11.587967876178482</x:v>
      </x:c>
      <x:c r="AC14" s="9" t="n">
        <x:f>IF(MAX($O$4:$O$35)=MIN($O$4:$O$35),50,100*(LN(1+O14)-LN(1+MIN($O$4:$O$35)))/(LN(1+MAX($O$4:$O$35))-LN(1+MIN($O$4:$O$35))))</x:f>
        <x:v>64.50030824304979</x:v>
      </x:c>
      <x:c r="AD14" s="9" t="n">
        <x:f>IF(P14="",50,IF(MAX($P$4:$P$35)=MIN($P$4:$P$35),50,100-100*(LN(1+P14)-LN(1+MIN($P$4:$P$35)))/(LN(1+MAX($P$4:$P$35))-LN(1+MIN($P$4:$P$35)))))</x:f>
        <x:v>50</x:v>
      </x:c>
      <x:c r="AE14" s="9" t="n">
        <x:f>(R14*'Веса'!$B$7+S14*'Веса'!$B$8+T14*'Веса'!$B$9)/'Веса'!$B$26</x:f>
        <x:v>43.05763448491906</x:v>
      </x:c>
      <x:c r="AF14" s="9" t="n">
        <x:f>(U14*'Веса'!$B$10+V14*'Веса'!$B$11+W14*'Веса'!$B$12+X14*'Веса'!$B$13)/'Веса'!$B$27</x:f>
        <x:v>53.90586963031499</x:v>
      </x:c>
      <x:c r="AG14" s="9" t="n">
        <x:f>(Y14*'Веса'!$B$14+Z14*'Веса'!$B$15+AA14*'Веса'!$B$16)/'Веса'!$B$28</x:f>
        <x:v>76.36590624199403</x:v>
      </x:c>
      <x:c r="AH14" s="9" t="n">
        <x:f>(AB14*'Веса'!$B$17+AC14*'Веса'!$B$18)/'Веса'!$B$29</x:f>
        <x:v>22.170435949552743</x:v>
      </x:c>
      <x:c r="AI14" s="9" t="n">
        <x:f>AD14</x:f>
        <x:v>50</x:v>
      </x:c>
      <x:c r="AJ14" s="9" t="n">
        <x:f>(AE14*'Веса'!$B$26+AF14*'Веса'!$B$27+AG14*'Веса'!$B$28+AH14*'Веса'!$B$29+AI14*'Веса'!$B$30)/'Веса'!$B$22</x:f>
        <x:v>50.689746044900446</x:v>
      </x:c>
      <x:c r="AK14" s="9" t="n">
        <x:f>COUNTIF($AJ$4:$AJ$35,"&gt;"&amp;AJ14)+1</x:f>
        <x:v>11</x:v>
      </x:c>
      <x:c r="AL14" s="9" t="n">
        <x:f>MIN(100,50*AM14+25*IF(P14&lt;&gt;"",1,0)+25*IF(AN14="resort_or_complex_page",1,0))</x:f>
        <x:v>45.45454545454545</x:v>
      </x:c>
      <x:c r="AM14" s="35" t="n">
        <x:v>0.9090909090909091</x:v>
      </x:c>
      <x:c r="AN14" s="2" t="str">
        <x:v>manual_review_required</x:v>
      </x:c>
      <x:c r="AO14" s="2" t="str">
        <x:v>check coordinates</x:v>
      </x:c>
    </x:row>
    <x:row r="15">
      <x:c r="A15" s="2" t="str">
        <x:v>R007</x:v>
      </x:c>
      <x:c r="B15" s="2" t="str">
        <x:v>Эльбрус</x:v>
      </x:c>
      <x:c r="C15" s="2" t="str">
        <x:v>Кабардино-Балкарская Республика</x:v>
      </x:c>
      <x:c r="D15" s="34" t="n">
        <x:v>341320</x:v>
      </x:c>
      <x:c r="E15" s="35" t="n">
        <x:v>-0.16891895182301175</x:v>
      </x:c>
      <x:c r="F15" s="9" t="n">
        <x:v>7.8318791749677725</x:v>
      </x:c>
      <x:c r="G15" s="9" t="n">
        <x:v>54</x:v>
      </x:c>
      <x:c r="H15" s="9" t="n">
        <x:v>13</x:v>
      </x:c>
      <x:c r="I15" s="9" t="n">
        <x:v>93</x:v>
      </x:c>
      <x:c r="J15" s="9" t="n">
        <x:v>119</x:v>
      </x:c>
      <x:c r="K15" s="9" t="n">
        <x:v>100</x:v>
      </x:c>
      <x:c r="L15" s="9" t="n">
        <x:v>134.6</x:v>
      </x:c>
      <x:c r="M15" s="9" t="n">
        <x:v>402.02399999999983</x:v>
      </x:c>
      <x:c r="N15" s="9" t="n">
        <x:v>95.2</x:v>
      </x:c>
      <x:c r="O15" s="9" t="n">
        <x:v>23</x:v>
      </x:c>
      <x:c r="P15" s="34" t="n">
        <x:v>3465</x:v>
      </x:c>
      <x:c r="Q15" s="10" t="n">
        <x:v>6</x:v>
      </x:c>
      <x:c r="R15" s="9" t="n">
        <x:f>IF(D15="",50,IF(MAX($D$4:$D$35)=MIN($D$4:$D$35),50,100*(LN(1+D15)-LN(1+MIN($D$4:$D$35)))/(LN(1+MAX($D$4:$D$35))-LN(1+MIN($D$4:$D$35)))))</x:f>
        <x:v>11.540457039456577</x:v>
      </x:c>
      <x:c r="S15" s="9" t="n">
        <x:f>IF(E15="",50,MAX(0,MIN(100,50+200*E15)))</x:f>
        <x:v>16.216209635397647</x:v>
      </x:c>
      <x:c r="T15" s="9" t="n">
        <x:f>IF(F15="",50,MAX(0,MIN(100,(F15-1)/6*100)))</x:f>
        <x:v>100</x:v>
      </x:c>
      <x:c r="U15" s="9" t="n">
        <x:f>IF(MAX($G$4:$G$35)=MIN($G$4:$G$35),50,100*(LN(1+G15)-LN(1+MIN($G$4:$G$35)))/(LN(1+MAX($G$4:$G$35))-LN(1+MIN($G$4:$G$35))))</x:f>
        <x:v>68.92403194763779</x:v>
      </x:c>
      <x:c r="V15" s="9" t="n">
        <x:f>IF(MAX($H$4:$H$35)=MIN($H$4:$H$35),50,100*(LN(1+H15)-LN(1+MIN($H$4:$H$35)))/(LN(1+MAX($H$4:$H$35))-LN(1+MIN($H$4:$H$35))))</x:f>
        <x:v>63.22023231163305</x:v>
      </x:c>
      <x:c r="W15" s="9" t="n">
        <x:f>IF(MAX($I$4:$I$35)=MIN($I$4:$I$35),50,100*(LN(1+I15)-LN(1+MIN($I$4:$I$35)))/(LN(1+MAX($I$4:$I$35))-LN(1+MIN($I$4:$I$35))))</x:f>
        <x:v>81.93236064597046</x:v>
      </x:c>
      <x:c r="X15" s="9" t="n">
        <x:f>IF(MAX($J$4:$J$35)=MIN($J$4:$J$35),50,100*(LN(1+J15)-LN(1+MIN($J$4:$J$35)))/(LN(1+MAX($J$4:$J$35))-LN(1+MIN($J$4:$J$35))))</x:f>
        <x:v>82.05050615218744</x:v>
      </x:c>
      <x:c r="Y15" s="9" t="n">
        <x:f>IF(MAX($K$4:$K$35)=MIN($K$4:$K$35),50,100*(K15-MIN($K$4:$K$35))/(MAX($K$4:$K$35)-MIN($K$4:$K$35)))</x:f>
        <x:v>82.72058823529412</x:v>
      </x:c>
      <x:c r="Z15" s="9" t="n">
        <x:f>IF(MAX($L$4:$L$35)=MIN($L$4:$L$35),50,100*(L15-MIN($L$4:$L$35))/(MAX($L$4:$L$35)-MIN($L$4:$L$35)))</x:f>
        <x:v>75.41613316261204</x:v>
      </x:c>
      <x:c r="AA15" s="9" t="n">
        <x:f>IF(MAX($M$4:$M$35)=MIN($M$4:$M$35),50,100*(LN(1+M15)-LN(1+MIN($M$4:$M$35)))/(LN(1+MAX($M$4:$M$35))-LN(1+MIN($M$4:$M$35))))</x:f>
        <x:v>83.23004484818783</x:v>
      </x:c>
      <x:c r="AB15" s="9" t="n">
        <x:f>IF(MAX($N$4:$N$35)=MIN($N$4:$N$35),50,100-100*(LN(1+N15)-LN(1+MIN($N$4:$N$35)))/(LN(1+MAX($N$4:$N$35))-LN(1+MIN($N$4:$N$35))))</x:f>
        <x:v>19.546486462893625</x:v>
      </x:c>
      <x:c r="AC15" s="9" t="n">
        <x:f>IF(MAX($O$4:$O$35)=MIN($O$4:$O$35),50,100*(LN(1+O15)-LN(1+MIN($O$4:$O$35)))/(LN(1+MAX($O$4:$O$35))-LN(1+MIN($O$4:$O$35))))</x:f>
        <x:v>52.13492937335958</x:v>
      </x:c>
      <x:c r="AD15" s="9" t="n">
        <x:f>IF(P15="",50,IF(MAX($P$4:$P$35)=MIN($P$4:$P$35),50,100-100*(LN(1+P15)-LN(1+MIN($P$4:$P$35)))/(LN(1+MAX($P$4:$P$35))-LN(1+MIN($P$4:$P$35)))))</x:f>
        <x:v>57.833938451185084</x:v>
      </x:c>
      <x:c r="AE15" s="9" t="n">
        <x:f>(R15*'Веса'!$B$7+S15*'Веса'!$B$8+T15*'Веса'!$B$9)/'Веса'!$B$26</x:f>
        <x:v>23.76683805850977</x:v>
      </x:c>
      <x:c r="AF15" s="9" t="n">
        <x:f>(U15*'Веса'!$B$10+V15*'Веса'!$B$11+W15*'Веса'!$B$12+X15*'Веса'!$B$13)/'Веса'!$B$27</x:f>
        <x:v>71.50381069376895</x:v>
      </x:c>
      <x:c r="AG15" s="9" t="n">
        <x:f>(Y15*'Веса'!$B$14+Z15*'Веса'!$B$15+AA15*'Веса'!$B$16)/'Веса'!$B$28</x:f>
        <x:v>80.68208869735761</x:v>
      </x:c>
      <x:c r="AH15" s="9" t="n">
        <x:f>(AB15*'Веса'!$B$17+AC15*'Веса'!$B$18)/'Веса'!$B$29</x:f>
        <x:v>26.064175044986815</x:v>
      </x:c>
      <x:c r="AI15" s="9" t="n">
        <x:f>AD15</x:f>
        <x:v>57.833938451185084</x:v>
      </x:c>
      <x:c r="AJ15" s="9" t="n">
        <x:f>(AE15*'Веса'!$B$26+AF15*'Веса'!$B$27+AG15*'Веса'!$B$28+AH15*'Веса'!$B$29+AI15*'Веса'!$B$30)/'Веса'!$B$22</x:f>
        <x:v>49.01722006337561</x:v>
      </x:c>
      <x:c r="AK15" s="9" t="n">
        <x:f>COUNTIF($AJ$4:$AJ$35,"&gt;"&amp;AJ15)+1</x:f>
        <x:v>12</x:v>
      </x:c>
      <x:c r="AL15" s="9" t="n">
        <x:f>MIN(100,50*AM15+25*IF(P15&lt;&gt;"",1,0)+25*IF(AN15="resort_or_complex_page",1,0))</x:f>
        <x:v>75</x:v>
      </x:c>
      <x:c r="AM15" s="35" t="n">
        <x:v>1</x:v>
      </x:c>
      <x:c r="AN15" s="2" t="str">
        <x:v>nearby_feature_proxy</x:v>
      </x:c>
      <x:c r="AO15" s="2" t="str">
        <x:v>coordinates are proxy; OSM radii overlap</x:v>
      </x:c>
    </x:row>
    <x:row r="16">
      <x:c r="A16" s="2" t="str">
        <x:v>R018</x:v>
      </x:c>
      <x:c r="B16" s="2" t="str">
        <x:v>Морозная гора</x:v>
      </x:c>
      <x:c r="C16" s="2" t="str">
        <x:v>Камчатский край</x:v>
      </x:c>
      <x:c r="D16" s="34" t="n">
        <x:v>516216</x:v>
      </x:c>
      <x:c r="E16" s="35" t="n">
        <x:v>0.2564493870070317</x:v>
      </x:c>
      <x:c r="F16" s="9" t="n">
        <x:v>1.8979148263517598</x:v>
      </x:c>
      <x:c r="G16" s="9" t="n">
        <x:v>0</x:v>
      </x:c>
      <x:c r="H16" s="9" t="n">
        <x:v>0</x:v>
      </x:c>
      <x:c r="I16" s="9" t="n">
        <x:v>18</x:v>
      </x:c>
      <x:c r="J16" s="9" t="n">
        <x:v>39</x:v>
      </x:c>
      <x:c r="K16" s="9" t="n">
        <x:v>101.2</x:v>
      </x:c>
      <x:c r="L16" s="9" t="n">
        <x:v>136.6</x:v>
      </x:c>
      <x:c r="M16" s="9" t="n">
        <x:v>395.87799999999993</x:v>
      </x:c>
      <x:c r="N16" s="9" t="n">
        <x:v>1.6</x:v>
      </x:c>
      <x:c r="O16" s="9" t="n">
        <x:v>148</x:v>
      </x:c>
      <x:c r="P16" s="34"/>
      <x:c r="Q16" s="10" t="n">
        <x:v>0</x:v>
      </x:c>
      <x:c r="R16" s="9" t="n">
        <x:f>IF(D16="",50,IF(MAX($D$4:$D$35)=MIN($D$4:$D$35),50,100*(LN(1+D16)-LN(1+MIN($D$4:$D$35)))/(LN(1+MAX($D$4:$D$35))-LN(1+MIN($D$4:$D$35)))))</x:f>
        <x:v>20.28421917127128</x:v>
      </x:c>
      <x:c r="S16" s="9" t="n">
        <x:f>IF(E16="",50,MAX(0,MIN(100,50+200*E16)))</x:f>
        <x:v>100</x:v>
      </x:c>
      <x:c r="T16" s="9" t="n">
        <x:f>IF(F16="",50,MAX(0,MIN(100,(F16-1)/6*100)))</x:f>
        <x:v>14.965247105862664</x:v>
      </x:c>
      <x:c r="U16" s="9" t="n">
        <x:f>IF(MAX($G$4:$G$35)=MIN($G$4:$G$35),50,100*(LN(1+G16)-LN(1+MIN($G$4:$G$35)))/(LN(1+MAX($G$4:$G$35))-LN(1+MIN($G$4:$G$35))))</x:f>
        <x:v>0</x:v>
      </x:c>
      <x:c r="V16" s="9" t="n">
        <x:f>IF(MAX($H$4:$H$35)=MIN($H$4:$H$35),50,100*(LN(1+H16)-LN(1+MIN($H$4:$H$35)))/(LN(1+MAX($H$4:$H$35))-LN(1+MIN($H$4:$H$35))))</x:f>
        <x:v>0</x:v>
      </x:c>
      <x:c r="W16" s="9" t="n">
        <x:f>IF(MAX($I$4:$I$35)=MIN($I$4:$I$35),50,100*(LN(1+I16)-LN(1+MIN($I$4:$I$35)))/(LN(1+MAX($I$4:$I$35))-LN(1+MIN($I$4:$I$35))))</x:f>
        <x:v>53.099093918044815</x:v>
      </x:c>
      <x:c r="X16" s="9" t="n">
        <x:f>IF(MAX($J$4:$J$35)=MIN($J$4:$J$35),50,100*(LN(1+J16)-LN(1+MIN($J$4:$J$35)))/(LN(1+MAX($J$4:$J$35))-LN(1+MIN($J$4:$J$35))))</x:f>
        <x:v>63.22192133297907</x:v>
      </x:c>
      <x:c r="Y16" s="9" t="n">
        <x:f>IF(MAX($K$4:$K$35)=MIN($K$4:$K$35),50,100*(K16-MIN($K$4:$K$35))/(MAX($K$4:$K$35)-MIN($K$4:$K$35)))</x:f>
        <x:v>84.92647058823529</x:v>
      </x:c>
      <x:c r="Z16" s="9" t="n">
        <x:f>IF(MAX($L$4:$L$35)=MIN($L$4:$L$35),50,100*(L16-MIN($L$4:$L$35))/(MAX($L$4:$L$35)-MIN($L$4:$L$35)))</x:f>
        <x:v>76.696542893726</x:v>
      </x:c>
      <x:c r="AA16" s="9" t="n">
        <x:f>IF(MAX($M$4:$M$35)=MIN($M$4:$M$35),50,100*(LN(1+M16)-LN(1+MIN($M$4:$M$35)))/(LN(1+MAX($M$4:$M$35))-LN(1+MIN($M$4:$M$35))))</x:f>
        <x:v>82.46845810221073</x:v>
      </x:c>
      <x:c r="AB16" s="9" t="n">
        <x:f>IF(MAX($N$4:$N$35)=MIN($N$4:$N$35),50,100-100*(LN(1+N16)-LN(1+MIN($N$4:$N$35)))/(LN(1+MAX($N$4:$N$35))-LN(1+MIN($N$4:$N$35))))</x:f>
        <x:v>100</x:v>
      </x:c>
      <x:c r="AC16" s="9" t="n">
        <x:f>IF(MAX($O$4:$O$35)=MIN($O$4:$O$35),50,100*(LN(1+O16)-LN(1+MIN($O$4:$O$35)))/(LN(1+MAX($O$4:$O$35))-LN(1+MIN($O$4:$O$35))))</x:f>
        <x:v>82.08809578910999</x:v>
      </x:c>
      <x:c r="AD16" s="9" t="n">
        <x:f>IF(P16="",50,IF(MAX($P$4:$P$35)=MIN($P$4:$P$35),50,100-100*(LN(1+P16)-LN(1+MIN($P$4:$P$35)))/(LN(1+MAX($P$4:$P$35))-LN(1+MIN($P$4:$P$35)))))</x:f>
        <x:v>50</x:v>
      </x:c>
      <x:c r="AE16" s="9" t="n">
        <x:f>(R16*'Веса'!$B$7+S16*'Веса'!$B$8+T16*'Веса'!$B$9)/'Веса'!$B$26</x:f>
        <x:v>39.548292870277386</x:v>
      </x:c>
      <x:c r="AF16" s="9" t="n">
        <x:f>(U16*'Веса'!$B$10+V16*'Веса'!$B$11+W16*'Веса'!$B$12+X16*'Веса'!$B$13)/'Веса'!$B$27</x:f>
        <x:v>18.20644934356645</x:v>
      </x:c>
      <x:c r="AG16" s="9" t="n">
        <x:f>(Y16*'Веса'!$B$14+Z16*'Веса'!$B$15+AA16*'Веса'!$B$16)/'Веса'!$B$28</x:f>
        <x:v>81.72008853407513</x:v>
      </x:c>
      <x:c r="AH16" s="9" t="n">
        <x:f>(AB16*'Веса'!$B$17+AC16*'Веса'!$B$18)/'Веса'!$B$29</x:f>
        <x:v>96.41761915782199</x:v>
      </x:c>
      <x:c r="AI16" s="9" t="n">
        <x:f>AD16</x:f>
        <x:v>50</x:v>
      </x:c>
      <x:c r="AJ16" s="9" t="n">
        <x:f>(AE16*'Веса'!$B$26+AF16*'Веса'!$B$27+AG16*'Веса'!$B$28+AH16*'Веса'!$B$29+AI16*'Веса'!$B$30)/'Веса'!$B$22</x:f>
        <x:v>48.856709106599794</x:v>
      </x:c>
      <x:c r="AK16" s="9" t="n">
        <x:f>COUNTIF($AJ$4:$AJ$35,"&gt;"&amp;AJ16)+1</x:f>
        <x:v>13</x:v>
      </x:c>
      <x:c r="AL16" s="9" t="n">
        <x:f>MIN(100,50*AM16+25*IF(P16&lt;&gt;"",1,0)+25*IF(AN16="resort_or_complex_page",1,0))</x:f>
        <x:v>45.45454545454545</x:v>
      </x:c>
      <x:c r="AM16" s="35" t="n">
        <x:v>0.9090909090909091</x:v>
      </x:c>
      <x:c r="AN16" s="2" t="str">
        <x:v>manual_review_required</x:v>
      </x:c>
      <x:c r="AO16" s="2" t="str">
        <x:v>check coordinates</x:v>
      </x:c>
    </x:row>
    <x:row r="17">
      <x:c r="A17" s="2" t="str">
        <x:v>R013</x:v>
      </x:c>
      <x:c r="B17" s="2" t="str">
        <x:v>Большой Вудъявр</x:v>
      </x:c>
      <x:c r="C17" s="2" t="str">
        <x:v>Мурманская область</x:v>
      </x:c>
      <x:c r="D17" s="34" t="n">
        <x:v>662210</x:v>
      </x:c>
      <x:c r="E17" s="35" t="n">
        <x:v>-0.1313945877596956</x:v>
      </x:c>
      <x:c r="F17" s="9" t="n">
        <x:v>2.8907612388819257</x:v>
      </x:c>
      <x:c r="G17" s="9" t="n">
        <x:v>38</x:v>
      </x:c>
      <x:c r="H17" s="9" t="n">
        <x:v>12</x:v>
      </x:c>
      <x:c r="I17" s="9" t="n">
        <x:v>14</x:v>
      </x:c>
      <x:c r="J17" s="9" t="n">
        <x:v>55</x:v>
      </x:c>
      <x:c r="K17" s="9" t="n">
        <x:v>106.6</x:v>
      </x:c>
      <x:c r="L17" s="9" t="n">
        <x:v>164.6</x:v>
      </x:c>
      <x:c r="M17" s="9" t="n">
        <x:v>186.25599999999986</x:v>
      </x:c>
      <x:c r="N17" s="9" t="n">
        <x:v>135.9</x:v>
      </x:c>
      <x:c r="O17" s="9" t="n">
        <x:v>118</x:v>
      </x:c>
      <x:c r="P17" s="34" t="n">
        <x:v>2649.285714285714</x:v>
      </x:c>
      <x:c r="Q17" s="10" t="n">
        <x:v>7</x:v>
      </x:c>
      <x:c r="R17" s="9" t="n">
        <x:f>IF(D17="",50,IF(MAX($D$4:$D$35)=MIN($D$4:$D$35),50,100*(LN(1+D17)-LN(1+MIN($D$4:$D$35)))/(LN(1+MAX($D$4:$D$35))-LN(1+MIN($D$4:$D$35)))))</x:f>
        <x:v>25.548118413259573</x:v>
      </x:c>
      <x:c r="S17" s="9" t="n">
        <x:f>IF(E17="",50,MAX(0,MIN(100,50+200*E17)))</x:f>
        <x:v>23.721082448060884</x:v>
      </x:c>
      <x:c r="T17" s="9" t="n">
        <x:f>IF(F17="",50,MAX(0,MIN(100,(F17-1)/6*100)))</x:f>
        <x:v>31.512687314698763</x:v>
      </x:c>
      <x:c r="U17" s="9" t="n">
        <x:f>IF(MAX($G$4:$G$35)=MIN($G$4:$G$35),50,100*(LN(1+G17)-LN(1+MIN($G$4:$G$35)))/(LN(1+MAX($G$4:$G$35))-LN(1+MIN($G$4:$G$35))))</x:f>
        <x:v>63.011341525207335</x:v>
      </x:c>
      <x:c r="V17" s="9" t="n">
        <x:f>IF(MAX($H$4:$H$35)=MIN($H$4:$H$35),50,100*(LN(1+H17)-LN(1+MIN($H$4:$H$35)))/(LN(1+MAX($H$4:$H$35))-LN(1+MIN($H$4:$H$35))))</x:f>
        <x:v>61.44493051612967</x:v>
      </x:c>
      <x:c r="W17" s="9" t="n">
        <x:f>IF(MAX($I$4:$I$35)=MIN($I$4:$I$35),50,100*(LN(1+I17)-LN(1+MIN($I$4:$I$35)))/(LN(1+MAX($I$4:$I$35))-LN(1+MIN($I$4:$I$35))))</x:f>
        <x:v>48.83613244510648</x:v>
      </x:c>
      <x:c r="X17" s="9" t="n">
        <x:f>IF(MAX($J$4:$J$35)=MIN($J$4:$J$35),50,100*(LN(1+J17)-LN(1+MIN($J$4:$J$35)))/(LN(1+MAX($J$4:$J$35))-LN(1+MIN($J$4:$J$35))))</x:f>
        <x:v>68.98855630682576</x:v>
      </x:c>
      <x:c r="Y17" s="9" t="n">
        <x:f>IF(MAX($K$4:$K$35)=MIN($K$4:$K$35),50,100*(K17-MIN($K$4:$K$35))/(MAX($K$4:$K$35)-MIN($K$4:$K$35)))</x:f>
        <x:v>94.85294117647057</x:v>
      </x:c>
      <x:c r="Z17" s="9" t="n">
        <x:f>IF(MAX($L$4:$L$35)=MIN($L$4:$L$35),50,100*(L17-MIN($L$4:$L$35))/(MAX($L$4:$L$35)-MIN($L$4:$L$35)))</x:f>
        <x:v>94.62227912932138</x:v>
      </x:c>
      <x:c r="AA17" s="9" t="n">
        <x:f>IF(MAX($M$4:$M$35)=MIN($M$4:$M$35),50,100*(LN(1+M17)-LN(1+MIN($M$4:$M$35)))/(LN(1+MAX($M$4:$M$35))-LN(1+MIN($M$4:$M$35))))</x:f>
        <x:v>45.2418864097487</x:v>
      </x:c>
      <x:c r="AB17" s="9" t="n">
        <x:f>IF(MAX($N$4:$N$35)=MIN($N$4:$N$35),50,100-100*(LN(1+N17)-LN(1+MIN($N$4:$N$35)))/(LN(1+MAX($N$4:$N$35))-LN(1+MIN($N$4:$N$35))))</x:f>
        <x:v>11.685405173841346</x:v>
      </x:c>
      <x:c r="AC17" s="9" t="n">
        <x:f>IF(MAX($O$4:$O$35)=MIN($O$4:$O$35),50,100*(LN(1+O17)-LN(1+MIN($O$4:$O$35)))/(LN(1+MAX($O$4:$O$35))-LN(1+MIN($O$4:$O$35))))</x:f>
        <x:v>78.3999513792547</x:v>
      </x:c>
      <x:c r="AD17" s="9" t="n">
        <x:f>IF(P17="",50,IF(MAX($P$4:$P$35)=MIN($P$4:$P$35),50,100-100*(LN(1+P17)-LN(1+MIN($P$4:$P$35)))/(LN(1+MAX($P$4:$P$35))-LN(1+MIN($P$4:$P$35)))))</x:f>
        <x:v>85.86116411430181</x:v>
      </x:c>
      <x:c r="AE17" s="9" t="n">
        <x:f>(R17*'Веса'!$B$7+S17*'Веса'!$B$8+T17*'Веса'!$B$9)/'Веса'!$B$26</x:f>
        <x:v>25.836930534639798</x:v>
      </x:c>
      <x:c r="AF17" s="9" t="n">
        <x:f>(U17*'Веса'!$B$10+V17*'Веса'!$B$11+W17*'Веса'!$B$12+X17*'Веса'!$B$13)/'Веса'!$B$27</x:f>
        <x:v>60.454970400439635</x:v>
      </x:c>
      <x:c r="AG17" s="9" t="n">
        <x:f>(Y17*'Веса'!$B$14+Z17*'Веса'!$B$15+AA17*'Веса'!$B$16)/'Веса'!$B$28</x:f>
        <x:v>79.90042613230926</x:v>
      </x:c>
      <x:c r="AH17" s="9" t="n">
        <x:f>(AB17*'Веса'!$B$17+AC17*'Веса'!$B$18)/'Веса'!$B$29</x:f>
        <x:v>25.02831441492402</x:v>
      </x:c>
      <x:c r="AI17" s="9" t="n">
        <x:f>AD17</x:f>
        <x:v>85.86116411430181</x:v>
      </x:c>
      <x:c r="AJ17" s="9" t="n">
        <x:f>(AE17*'Веса'!$B$26+AF17*'Веса'!$B$27+AG17*'Веса'!$B$28+AH17*'Веса'!$B$29+AI17*'Веса'!$B$30)/'Веса'!$B$22</x:f>
        <x:v>48.22448968763517</x:v>
      </x:c>
      <x:c r="AK17" s="9" t="n">
        <x:f>COUNTIF($AJ$4:$AJ$35,"&gt;"&amp;AJ17)+1</x:f>
        <x:v>14</x:v>
      </x:c>
      <x:c r="AL17" s="9" t="n">
        <x:f>MIN(100,50*AM17+25*IF(P17&lt;&gt;"",1,0)+25*IF(AN17="resort_or_complex_page",1,0))</x:f>
        <x:v>70.45454545454545</x:v>
      </x:c>
      <x:c r="AM17" s="35" t="n">
        <x:v>0.9090909090909091</x:v>
      </x:c>
      <x:c r="AN17" s="2" t="str">
        <x:v>manual_review_required</x:v>
      </x:c>
      <x:c r="AO17" s="2" t="str">
        <x:v>check coordinates; OSM radii overlap</x:v>
      </x:c>
    </x:row>
    <x:row r="18">
      <x:c r="A18" s="2" t="str">
        <x:v>R008</x:v>
      </x:c>
      <x:c r="B18" s="2" t="str">
        <x:v>Чегет</x:v>
      </x:c>
      <x:c r="C18" s="2" t="str">
        <x:v>Кабардино-Балкарская Республика</x:v>
      </x:c>
      <x:c r="D18" s="34" t="n">
        <x:v>341320</x:v>
      </x:c>
      <x:c r="E18" s="35" t="n">
        <x:v>-0.16891895182301175</x:v>
      </x:c>
      <x:c r="F18" s="9" t="n">
        <x:v>7.8318791749677725</x:v>
      </x:c>
      <x:c r="G18" s="9" t="n">
        <x:v>36</x:v>
      </x:c>
      <x:c r="H18" s="9" t="n">
        <x:v>11</x:v>
      </x:c>
      <x:c r="I18" s="9" t="n">
        <x:v>94</x:v>
      </x:c>
      <x:c r="J18" s="9" t="n">
        <x:v>108</x:v>
      </x:c>
      <x:c r="K18" s="9" t="n">
        <x:v>100</x:v>
      </x:c>
      <x:c r="L18" s="9" t="n">
        <x:v>135.2</x:v>
      </x:c>
      <x:c r="M18" s="9" t="n">
        <x:v>402.02399999999983</x:v>
      </x:c>
      <x:c r="N18" s="9" t="n">
        <x:v>94.9</x:v>
      </x:c>
      <x:c r="O18" s="9" t="n">
        <x:v>21</x:v>
      </x:c>
      <x:c r="P18" s="34"/>
      <x:c r="Q18" s="10" t="n">
        <x:v>0</x:v>
      </x:c>
      <x:c r="R18" s="9" t="n">
        <x:f>IF(D18="",50,IF(MAX($D$4:$D$35)=MIN($D$4:$D$35),50,100*(LN(1+D18)-LN(1+MIN($D$4:$D$35)))/(LN(1+MAX($D$4:$D$35))-LN(1+MIN($D$4:$D$35)))))</x:f>
        <x:v>11.540457039456577</x:v>
      </x:c>
      <x:c r="S18" s="9" t="n">
        <x:f>IF(E18="",50,MAX(0,MIN(100,50+200*E18)))</x:f>
        <x:v>16.216209635397647</x:v>
      </x:c>
      <x:c r="T18" s="9" t="n">
        <x:f>IF(F18="",50,MAX(0,MIN(100,(F18-1)/6*100)))</x:f>
        <x:v>100</x:v>
      </x:c>
      <x:c r="U18" s="9" t="n">
        <x:f>IF(MAX($G$4:$G$35)=MIN($G$4:$G$35),50,100*(LN(1+G18)-LN(1+MIN($G$4:$G$35)))/(LN(1+MAX($G$4:$G$35))-LN(1+MIN($G$4:$G$35))))</x:f>
        <x:v>62.10589688138204</x:v>
      </x:c>
      <x:c r="V18" s="9" t="n">
        <x:f>IF(MAX($H$4:$H$35)=MIN($H$4:$H$35),50,100*(LN(1+H18)-LN(1+MIN($H$4:$H$35)))/(LN(1+MAX($H$4:$H$35))-LN(1+MIN($H$4:$H$35))))</x:f>
        <x:v>59.52745850171503</x:v>
      </x:c>
      <x:c r="W18" s="9" t="n">
        <x:f>IF(MAX($I$4:$I$35)=MIN($I$4:$I$35),50,100*(LN(1+I18)-LN(1+MIN($I$4:$I$35)))/(LN(1+MAX($I$4:$I$35))-LN(1+MIN($I$4:$I$35))))</x:f>
        <x:v>82.12319510413685</x:v>
      </x:c>
      <x:c r="X18" s="9" t="n">
        <x:f>IF(MAX($J$4:$J$35)=MIN($J$4:$J$35),50,100*(LN(1+J18)-LN(1+MIN($J$4:$J$35)))/(LN(1+MAX($J$4:$J$35))-LN(1+MIN($J$4:$J$35))))</x:f>
        <x:v>80.40274301323593</x:v>
      </x:c>
      <x:c r="Y18" s="9" t="n">
        <x:f>IF(MAX($K$4:$K$35)=MIN($K$4:$K$35),50,100*(K18-MIN($K$4:$K$35))/(MAX($K$4:$K$35)-MIN($K$4:$K$35)))</x:f>
        <x:v>82.72058823529412</x:v>
      </x:c>
      <x:c r="Z18" s="9" t="n">
        <x:f>IF(MAX($L$4:$L$35)=MIN($L$4:$L$35),50,100*(L18-MIN($L$4:$L$35))/(MAX($L$4:$L$35)-MIN($L$4:$L$35)))</x:f>
        <x:v>75.80025608194623</x:v>
      </x:c>
      <x:c r="AA18" s="9" t="n">
        <x:f>IF(MAX($M$4:$M$35)=MIN($M$4:$M$35),50,100*(LN(1+M18)-LN(1+MIN($M$4:$M$35)))/(LN(1+MAX($M$4:$M$35))-LN(1+MIN($M$4:$M$35))))</x:f>
        <x:v>83.23004484818783</x:v>
      </x:c>
      <x:c r="AB18" s="9" t="n">
        <x:f>IF(MAX($N$4:$N$35)=MIN($N$4:$N$35),50,100-100*(LN(1+N18)-LN(1+MIN($N$4:$N$35)))/(LN(1+MAX($N$4:$N$35))-LN(1+MIN($N$4:$N$35))))</x:f>
        <x:v>19.61607723229335</x:v>
      </x:c>
      <x:c r="AC18" s="9" t="n">
        <x:f>IF(MAX($O$4:$O$35)=MIN($O$4:$O$35),50,100*(LN(1+O18)-LN(1+MIN($O$4:$O$35)))/(LN(1+MAX($O$4:$O$35))-LN(1+MIN($O$4:$O$35))))</x:f>
        <x:v>50.707536309493044</x:v>
      </x:c>
      <x:c r="AD18" s="9" t="n">
        <x:f>IF(P18="",50,IF(MAX($P$4:$P$35)=MIN($P$4:$P$35),50,100-100*(LN(1+P18)-LN(1+MIN($P$4:$P$35)))/(LN(1+MAX($P$4:$P$35))-LN(1+MIN($P$4:$P$35)))))</x:f>
        <x:v>50</x:v>
      </x:c>
      <x:c r="AE18" s="9" t="n">
        <x:f>(R18*'Веса'!$B$7+S18*'Веса'!$B$8+T18*'Веса'!$B$9)/'Веса'!$B$26</x:f>
        <x:v>23.76683805850977</x:v>
      </x:c>
      <x:c r="AF18" s="9" t="n">
        <x:f>(U18*'Веса'!$B$10+V18*'Веса'!$B$11+W18*'Веса'!$B$12+X18*'Веса'!$B$13)/'Веса'!$B$27</x:f>
        <x:v>67.5830153154487</x:v>
      </x:c>
      <x:c r="AG18" s="9" t="n">
        <x:f>(Y18*'Веса'!$B$14+Z18*'Веса'!$B$15+AA18*'Веса'!$B$16)/'Веса'!$B$28</x:f>
        <x:v>80.79732557315785</x:v>
      </x:c>
      <x:c r="AH18" s="9" t="n">
        <x:f>(AB18*'Веса'!$B$17+AC18*'Веса'!$B$18)/'Веса'!$B$29</x:f>
        <x:v>25.834369047733286</x:v>
      </x:c>
      <x:c r="AI18" s="9" t="n">
        <x:f>AD18</x:f>
        <x:v>50</x:v>
      </x:c>
      <x:c r="AJ18" s="9" t="n">
        <x:f>(AE18*'Веса'!$B$26+AF18*'Веса'!$B$27+AG18*'Веса'!$B$28+AH18*'Веса'!$B$29+AI18*'Веса'!$B$30)/'Веса'!$B$22</x:f>
        <x:v>47.64539107167097</x:v>
      </x:c>
      <x:c r="AK18" s="9" t="n">
        <x:f>COUNTIF($AJ$4:$AJ$35,"&gt;"&amp;AJ18)+1</x:f>
        <x:v>15</x:v>
      </x:c>
      <x:c r="AL18" s="9" t="n">
        <x:f>MIN(100,50*AM18+25*IF(P18&lt;&gt;"",1,0)+25*IF(AN18="resort_or_complex_page",1,0))</x:f>
        <x:v>50</x:v>
      </x:c>
      <x:c r="AM18" s="35" t="n">
        <x:v>1</x:v>
      </x:c>
      <x:c r="AN18" s="2" t="str">
        <x:v>nearby_feature_proxy</x:v>
      </x:c>
      <x:c r="AO18" s="2" t="str">
        <x:v>coordinates are proxy; OSM radii overlap</x:v>
      </x:c>
    </x:row>
    <x:row r="19">
      <x:c r="A19" s="2" t="str">
        <x:v>R023</x:v>
      </x:c>
      <x:c r="B19" s="2" t="str">
        <x:v>Аджигардак</x:v>
      </x:c>
      <x:c r="C19" s="2" t="str">
        <x:v>Челябинская область</x:v>
      </x:c>
      <x:c r="D19" s="34" t="n">
        <x:v>1848703</x:v>
      </x:c>
      <x:c r="E19" s="35" t="n">
        <x:v>0.04731876746637864</x:v>
      </x:c>
      <x:c r="F19" s="9" t="n">
        <x:v>3.5559448975849555</x:v>
      </x:c>
      <x:c r="G19" s="9" t="n">
        <x:v>15</x:v>
      </x:c>
      <x:c r="H19" s="9" t="n">
        <x:v>8</x:v>
      </x:c>
      <x:c r="I19" s="9" t="n">
        <x:v>1</x:v>
      </x:c>
      <x:c r="J19" s="9" t="n">
        <x:v>22</x:v>
      </x:c>
      <x:c r="K19" s="9" t="n">
        <x:v>85.2</x:v>
      </x:c>
      <x:c r="L19" s="9" t="n">
        <x:v>123.4</x:v>
      </x:c>
      <x:c r="M19" s="9" t="n">
        <x:v>191.18399999999997</x:v>
      </x:c>
      <x:c r="N19" s="9" t="n">
        <x:v>101.1</x:v>
      </x:c>
      <x:c r="O19" s="9" t="n">
        <x:v>28</x:v>
      </x:c>
      <x:c r="P19" s="34"/>
      <x:c r="Q19" s="10" t="n">
        <x:v>0</x:v>
      </x:c>
      <x:c r="R19" s="9" t="n">
        <x:f>IF(D19="",50,IF(MAX($D$4:$D$35)=MIN($D$4:$D$35),50,100*(LN(1+D19)-LN(1+MIN($D$4:$D$35)))/(LN(1+MAX($D$4:$D$35))-LN(1+MIN($D$4:$D$35)))))</x:f>
        <x:v>47.24681723421811</x:v>
      </x:c>
      <x:c r="S19" s="9" t="n">
        <x:f>IF(E19="",50,MAX(0,MIN(100,50+200*E19)))</x:f>
        <x:v>59.46375349327573</x:v>
      </x:c>
      <x:c r="T19" s="9" t="n">
        <x:f>IF(F19="",50,MAX(0,MIN(100,(F19-1)/6*100)))</x:f>
        <x:v>42.59908162641592</x:v>
      </x:c>
      <x:c r="U19" s="9" t="n">
        <x:f>IF(MAX($G$4:$G$35)=MIN($G$4:$G$35),50,100*(LN(1+G19)-LN(1+MIN($G$4:$G$35)))/(LN(1+MAX($G$4:$G$35))-LN(1+MIN($G$4:$G$35))))</x:f>
        <x:v>47.68707388083804</x:v>
      </x:c>
      <x:c r="V19" s="9" t="n">
        <x:f>IF(MAX($H$4:$H$35)=MIN($H$4:$H$35),50,100*(LN(1+H19)-LN(1+MIN($H$4:$H$35)))/(LN(1+MAX($H$4:$H$35))-LN(1+MIN($H$4:$H$35))))</x:f>
        <x:v>52.635858517054935</x:v>
      </x:c>
      <x:c r="W19" s="9" t="n">
        <x:f>IF(MAX($I$4:$I$35)=MIN($I$4:$I$35),50,100*(LN(1+I19)-LN(1+MIN($I$4:$I$35)))/(LN(1+MAX($I$4:$I$35))-LN(1+MIN($I$4:$I$35))))</x:f>
        <x:v>12.5</x:v>
      </x:c>
      <x:c r="X19" s="9" t="n">
        <x:f>IF(MAX($J$4:$J$35)=MIN($J$4:$J$35),50,100*(LN(1+J19)-LN(1+MIN($J$4:$J$35)))/(LN(1+MAX($J$4:$J$35))-LN(1+MIN($J$4:$J$35))))</x:f>
        <x:v>53.73771930617306</x:v>
      </x:c>
      <x:c r="Y19" s="9" t="n">
        <x:f>IF(MAX($K$4:$K$35)=MIN($K$4:$K$35),50,100*(K19-MIN($K$4:$K$35))/(MAX($K$4:$K$35)-MIN($K$4:$K$35)))</x:f>
        <x:v>55.51470588235294</x:v>
      </x:c>
      <x:c r="Z19" s="9" t="n">
        <x:f>IF(MAX($L$4:$L$35)=MIN($L$4:$L$35),50,100*(L19-MIN($L$4:$L$35))/(MAX($L$4:$L$35)-MIN($L$4:$L$35)))</x:f>
        <x:v>68.24583866837388</x:v>
      </x:c>
      <x:c r="AA19" s="9" t="n">
        <x:f>IF(MAX($M$4:$M$35)=MIN($M$4:$M$35),50,100*(LN(1+M19)-LN(1+MIN($M$4:$M$35)))/(LN(1+MAX($M$4:$M$35))-LN(1+MIN($M$4:$M$35))))</x:f>
        <x:v>46.529267321249215</x:v>
      </x:c>
      <x:c r="AB19" s="9" t="n">
        <x:f>IF(MAX($N$4:$N$35)=MIN($N$4:$N$35),50,100-100*(LN(1+N19)-LN(1+MIN($N$4:$N$35)))/(LN(1+MAX($N$4:$N$35))-LN(1+MIN($N$4:$N$35))))</x:f>
        <x:v>18.220268540275484</x:v>
      </x:c>
      <x:c r="AC19" s="9" t="n">
        <x:f>IF(MAX($O$4:$O$35)=MIN($O$4:$O$35),50,100*(LN(1+O19)-LN(1+MIN($O$4:$O$35)))/(LN(1+MAX($O$4:$O$35))-LN(1+MIN($O$4:$O$35))))</x:f>
        <x:v>55.23938222793814</x:v>
      </x:c>
      <x:c r="AD19" s="9" t="n">
        <x:f>IF(P19="",50,IF(MAX($P$4:$P$35)=MIN($P$4:$P$35),50,100-100*(LN(1+P19)-LN(1+MIN($P$4:$P$35)))/(LN(1+MAX($P$4:$P$35))-LN(1+MIN($P$4:$P$35)))))</x:f>
        <x:v>50</x:v>
      </x:c>
      <x:c r="AE19" s="9" t="n">
        <x:f>(R19*'Веса'!$B$7+S19*'Веса'!$B$8+T19*'Веса'!$B$9)/'Веса'!$B$26</x:f>
        <x:v>49.72008434800724</x:v>
      </x:c>
      <x:c r="AF19" s="9" t="n">
        <x:f>(U19*'Веса'!$B$10+V19*'Веса'!$B$11+W19*'Веса'!$B$12+X19*'Веса'!$B$13)/'Веса'!$B$27</x:f>
        <x:v>42.76139625385136</x:v>
      </x:c>
      <x:c r="AG19" s="9" t="n">
        <x:f>(Y19*'Веса'!$B$14+Z19*'Веса'!$B$15+AA19*'Веса'!$B$16)/'Веса'!$B$28</x:f>
        <x:v>56.6384141498281</x:v>
      </x:c>
      <x:c r="AH19" s="9" t="n">
        <x:f>(AB19*'Веса'!$B$17+AC19*'Веса'!$B$18)/'Веса'!$B$29</x:f>
        <x:v>25.624091277808013</x:v>
      </x:c>
      <x:c r="AI19" s="9" t="n">
        <x:f>AD19</x:f>
        <x:v>50</x:v>
      </x:c>
      <x:c r="AJ19" s="9" t="n">
        <x:f>(AE19*'Веса'!$B$26+AF19*'Веса'!$B$27+AG19*'Веса'!$B$28+AH19*'Веса'!$B$29+AI19*'Веса'!$B$30)/'Веса'!$B$22</x:f>
        <x:v>46.968474760412164</x:v>
      </x:c>
      <x:c r="AK19" s="9" t="n">
        <x:f>COUNTIF($AJ$4:$AJ$35,"&gt;"&amp;AJ19)+1</x:f>
        <x:v>16</x:v>
      </x:c>
      <x:c r="AL19" s="9" t="n">
        <x:f>MIN(100,50*AM19+25*IF(P19&lt;&gt;"",1,0)+25*IF(AN19="resort_or_complex_page",1,0))</x:f>
        <x:v>45.45454545454545</x:v>
      </x:c>
      <x:c r="AM19" s="35" t="n">
        <x:v>0.9090909090909091</x:v>
      </x:c>
      <x:c r="AN19" s="2" t="str">
        <x:v>manual_review_required</x:v>
      </x:c>
      <x:c r="AO19" s="2" t="str">
        <x:v>check coordinates</x:v>
      </x:c>
    </x:row>
    <x:row r="20">
      <x:c r="A20" s="2" t="str">
        <x:v>R015</x:v>
      </x:c>
      <x:c r="B20" s="2" t="str">
        <x:v>КолаСпортЛэнд</x:v>
      </x:c>
      <x:c r="C20" s="2" t="str">
        <x:v>Мурманская область</x:v>
      </x:c>
      <x:c r="D20" s="34" t="n">
        <x:v>662210</x:v>
      </x:c>
      <x:c r="E20" s="35" t="n">
        <x:v>-0.1313945877596956</x:v>
      </x:c>
      <x:c r="F20" s="9" t="n">
        <x:v>2.8907612388819257</x:v>
      </x:c>
      <x:c r="G20" s="9" t="n">
        <x:v>36</x:v>
      </x:c>
      <x:c r="H20" s="9" t="n">
        <x:v>11</x:v>
      </x:c>
      <x:c r="I20" s="9" t="n">
        <x:v>12</x:v>
      </x:c>
      <x:c r="J20" s="9" t="n">
        <x:v>50</x:v>
      </x:c>
      <x:c r="K20" s="9" t="n">
        <x:v>106.6</x:v>
      </x:c>
      <x:c r="L20" s="9" t="n">
        <x:v>157.4</x:v>
      </x:c>
      <x:c r="M20" s="9" t="n">
        <x:v>186.25599999999986</x:v>
      </x:c>
      <x:c r="N20" s="9" t="n">
        <x:v>136.7</x:v>
      </x:c>
      <x:c r="O20" s="9" t="n">
        <x:v>108</x:v>
      </x:c>
      <x:c r="P20" s="34"/>
      <x:c r="Q20" s="10" t="n">
        <x:v>0</x:v>
      </x:c>
      <x:c r="R20" s="9" t="n">
        <x:f>IF(D20="",50,IF(MAX($D$4:$D$35)=MIN($D$4:$D$35),50,100*(LN(1+D20)-LN(1+MIN($D$4:$D$35)))/(LN(1+MAX($D$4:$D$35))-LN(1+MIN($D$4:$D$35)))))</x:f>
        <x:v>25.548118413259573</x:v>
      </x:c>
      <x:c r="S20" s="9" t="n">
        <x:f>IF(E20="",50,MAX(0,MIN(100,50+200*E20)))</x:f>
        <x:v>23.721082448060884</x:v>
      </x:c>
      <x:c r="T20" s="9" t="n">
        <x:f>IF(F20="",50,MAX(0,MIN(100,(F20-1)/6*100)))</x:f>
        <x:v>31.512687314698763</x:v>
      </x:c>
      <x:c r="U20" s="9" t="n">
        <x:f>IF(MAX($G$4:$G$35)=MIN($G$4:$G$35),50,100*(LN(1+G20)-LN(1+MIN($G$4:$G$35)))/(LN(1+MAX($G$4:$G$35))-LN(1+MIN($G$4:$G$35))))</x:f>
        <x:v>62.10589688138204</x:v>
      </x:c>
      <x:c r="V20" s="9" t="n">
        <x:f>IF(MAX($H$4:$H$35)=MIN($H$4:$H$35),50,100*(LN(1+H20)-LN(1+MIN($H$4:$H$35)))/(LN(1+MAX($H$4:$H$35))-LN(1+MIN($H$4:$H$35))))</x:f>
        <x:v>59.52745850171503</x:v>
      </x:c>
      <x:c r="W20" s="9" t="n">
        <x:f>IF(MAX($I$4:$I$35)=MIN($I$4:$I$35),50,100*(LN(1+I20)-LN(1+MIN($I$4:$I$35)))/(LN(1+MAX($I$4:$I$35))-LN(1+MIN($I$4:$I$35))))</x:f>
        <x:v>46.25549647676365</x:v>
      </x:c>
      <x:c r="X20" s="9" t="n">
        <x:f>IF(MAX($J$4:$J$35)=MIN($J$4:$J$35),50,100*(LN(1+J20)-LN(1+MIN($J$4:$J$35)))/(LN(1+MAX($J$4:$J$35))-LN(1+MIN($J$4:$J$35))))</x:f>
        <x:v>67.38565841989433</x:v>
      </x:c>
      <x:c r="Y20" s="9" t="n">
        <x:f>IF(MAX($K$4:$K$35)=MIN($K$4:$K$35),50,100*(K20-MIN($K$4:$K$35))/(MAX($K$4:$K$35)-MIN($K$4:$K$35)))</x:f>
        <x:v>94.85294117647057</x:v>
      </x:c>
      <x:c r="Z20" s="9" t="n">
        <x:f>IF(MAX($L$4:$L$35)=MIN($L$4:$L$35),50,100*(L20-MIN($L$4:$L$35))/(MAX($L$4:$L$35)-MIN($L$4:$L$35)))</x:f>
        <x:v>90.01280409731115</x:v>
      </x:c>
      <x:c r="AA20" s="9" t="n">
        <x:f>IF(MAX($M$4:$M$35)=MIN($M$4:$M$35),50,100*(LN(1+M20)-LN(1+MIN($M$4:$M$35)))/(LN(1+MAX($M$4:$M$35))-LN(1+MIN($M$4:$M$35))))</x:f>
        <x:v>45.2418864097487</x:v>
      </x:c>
      <x:c r="AB20" s="9" t="n">
        <x:f>IF(MAX($N$4:$N$35)=MIN($N$4:$N$35),50,100-100*(LN(1+N20)-LN(1+MIN($N$4:$N$35)))/(LN(1+MAX($N$4:$N$35))-LN(1+MIN($N$4:$N$35))))</x:f>
        <x:v>11.555583238854538</x:v>
      </x:c>
      <x:c r="AC20" s="9" t="n">
        <x:f>IF(MAX($O$4:$O$35)=MIN($O$4:$O$35),50,100*(LN(1+O20)-LN(1+MIN($O$4:$O$35)))/(LN(1+MAX($O$4:$O$35))-LN(1+MIN($O$4:$O$35))))</x:f>
        <x:v>76.96002130936168</x:v>
      </x:c>
      <x:c r="AD20" s="9" t="n">
        <x:f>IF(P20="",50,IF(MAX($P$4:$P$35)=MIN($P$4:$P$35),50,100-100*(LN(1+P20)-LN(1+MIN($P$4:$P$35)))/(LN(1+MAX($P$4:$P$35))-LN(1+MIN($P$4:$P$35)))))</x:f>
        <x:v>50</x:v>
      </x:c>
      <x:c r="AE20" s="9" t="n">
        <x:f>(R20*'Веса'!$B$7+S20*'Веса'!$B$8+T20*'Веса'!$B$9)/'Веса'!$B$26</x:f>
        <x:v>25.836930534639798</x:v>
      </x:c>
      <x:c r="AF20" s="9" t="n">
        <x:f>(U20*'Веса'!$B$10+V20*'Веса'!$B$11+W20*'Веса'!$B$12+X20*'Веса'!$B$13)/'Веса'!$B$27</x:f>
        <x:v>58.84742543877307</x:v>
      </x:c>
      <x:c r="AG20" s="9" t="n">
        <x:f>(Y20*'Веса'!$B$14+Z20*'Веса'!$B$15+AA20*'Веса'!$B$16)/'Веса'!$B$28</x:f>
        <x:v>78.51758362270618</x:v>
      </x:c>
      <x:c r="AH20" s="9" t="n">
        <x:f>(AB20*'Веса'!$B$17+AC20*'Веса'!$B$18)/'Веса'!$B$29</x:f>
        <x:v>24.636470852955966</x:v>
      </x:c>
      <x:c r="AI20" s="9" t="n">
        <x:f>AD20</x:f>
        <x:v>50</x:v>
      </x:c>
      <x:c r="AJ20" s="9" t="n">
        <x:f>(AE20*'Веса'!$B$26+AF20*'Веса'!$B$27+AG20*'Веса'!$B$28+AH20*'Веса'!$B$29+AI20*'Веса'!$B$30)/'Веса'!$B$22</x:f>
        <x:v>45.713792383386014</x:v>
      </x:c>
      <x:c r="AK20" s="9" t="n">
        <x:f>COUNTIF($AJ$4:$AJ$35,"&gt;"&amp;AJ20)+1</x:f>
        <x:v>17</x:v>
      </x:c>
      <x:c r="AL20" s="9" t="n">
        <x:f>MIN(100,50*AM20+25*IF(P20&lt;&gt;"",1,0)+25*IF(AN20="resort_or_complex_page",1,0))</x:f>
        <x:v>45.45454545454545</x:v>
      </x:c>
      <x:c r="AM20" s="35" t="n">
        <x:v>0.9090909090909091</x:v>
      </x:c>
      <x:c r="AN20" s="2" t="str">
        <x:v>manual_review_required</x:v>
      </x:c>
      <x:c r="AO20" s="2" t="str">
        <x:v>check coordinates; OSM radii overlap</x:v>
      </x:c>
    </x:row>
    <x:row r="21">
      <x:c r="A21" s="2" t="str">
        <x:v>R020</x:v>
      </x:c>
      <x:c r="B21" s="2" t="str">
        <x:v>Соболиная гора</x:v>
      </x:c>
      <x:c r="C21" s="2" t="str">
        <x:v>Иркутская область</x:v>
      </x:c>
      <x:c r="D21" s="34" t="n">
        <x:v>1456892</x:v>
      </x:c>
      <x:c r="E21" s="35" t="n">
        <x:v>-0.06921181888343142</x:v>
      </x:c>
      <x:c r="F21" s="9" t="n">
        <x:v>4.248842741946555</x:v>
      </x:c>
      <x:c r="G21" s="9" t="n">
        <x:v>18</x:v>
      </x:c>
      <x:c r="H21" s="9" t="n">
        <x:v>7</x:v>
      </x:c>
      <x:c r="I21" s="9" t="n">
        <x:v>18</x:v>
      </x:c>
      <x:c r="J21" s="9" t="n">
        <x:v>33</x:v>
      </x:c>
      <x:c r="K21" s="9" t="n">
        <x:v>79.4</x:v>
      </x:c>
      <x:c r="L21" s="9" t="n">
        <x:v>146.8</x:v>
      </x:c>
      <x:c r="M21" s="9" t="n">
        <x:v>116.08799999999997</x:v>
      </x:c>
      <x:c r="N21" s="9" t="n">
        <x:v>86.9</x:v>
      </x:c>
      <x:c r="O21" s="9" t="n">
        <x:v>52</x:v>
      </x:c>
      <x:c r="P21" s="34"/>
      <x:c r="Q21" s="10" t="n">
        <x:v>0</x:v>
      </x:c>
      <x:c r="R21" s="9" t="n">
        <x:f>IF(D21="",50,IF(MAX($D$4:$D$35)=MIN($D$4:$D$35),50,100*(LN(1+D21)-LN(1+MIN($D$4:$D$35)))/(LN(1+MAX($D$4:$D$35))-LN(1+MIN($D$4:$D$35)))))</x:f>
        <x:v>42.21283325338448</x:v>
      </x:c>
      <x:c r="S21" s="9" t="n">
        <x:f>IF(E21="",50,MAX(0,MIN(100,50+200*E21)))</x:f>
        <x:v>36.157636223313716</x:v>
      </x:c>
      <x:c r="T21" s="9" t="n">
        <x:f>IF(F21="",50,MAX(0,MIN(100,(F21-1)/6*100)))</x:f>
        <x:v>54.14737903244258</x:v>
      </x:c>
      <x:c r="U21" s="9" t="n">
        <x:f>IF(MAX($G$4:$G$35)=MIN($G$4:$G$35),50,100*(LN(1+G21)-LN(1+MIN($G$4:$G$35)))/(LN(1+MAX($G$4:$G$35))-LN(1+MIN($G$4:$G$35))))</x:f>
        <x:v>50.64280829350722</x:v>
      </x:c>
      <x:c r="V21" s="9" t="n">
        <x:f>IF(MAX($H$4:$H$35)=MIN($H$4:$H$35),50,100*(LN(1+H21)-LN(1+MIN($H$4:$H$35)))/(LN(1+MAX($H$4:$H$35))-LN(1+MIN($H$4:$H$35))))</x:f>
        <x:v>49.81429386478135</x:v>
      </x:c>
      <x:c r="W21" s="9" t="n">
        <x:f>IF(MAX($I$4:$I$35)=MIN($I$4:$I$35),50,100*(LN(1+I21)-LN(1+MIN($I$4:$I$35)))/(LN(1+MAX($I$4:$I$35))-LN(1+MIN($I$4:$I$35))))</x:f>
        <x:v>53.099093918044815</x:v>
      </x:c>
      <x:c r="X21" s="9" t="n">
        <x:f>IF(MAX($J$4:$J$35)=MIN($J$4:$J$35),50,100*(LN(1+J21)-LN(1+MIN($J$4:$J$35)))/(LN(1+MAX($J$4:$J$35))-LN(1+MIN($J$4:$J$35))))</x:f>
        <x:v>60.43658798076839</x:v>
      </x:c>
      <x:c r="Y21" s="9" t="n">
        <x:f>IF(MAX($K$4:$K$35)=MIN($K$4:$K$35),50,100*(K21-MIN($K$4:$K$35))/(MAX($K$4:$K$35)-MIN($K$4:$K$35)))</x:f>
        <x:v>44.852941176470594</x:v>
      </x:c>
      <x:c r="Z21" s="9" t="n">
        <x:f>IF(MAX($L$4:$L$35)=MIN($L$4:$L$35),50,100*(L21-MIN($L$4:$L$35))/(MAX($L$4:$L$35)-MIN($L$4:$L$35)))</x:f>
        <x:v>83.22663252240717</x:v>
      </x:c>
      <x:c r="AA21" s="9" t="n">
        <x:f>IF(MAX($M$4:$M$35)=MIN($M$4:$M$35),50,100*(LN(1+M21)-LN(1+MIN($M$4:$M$35)))/(LN(1+MAX($M$4:$M$35))-LN(1+MIN($M$4:$M$35))))</x:f>
        <x:v>21.971279135633242</x:v>
      </x:c>
      <x:c r="AB21" s="9" t="n">
        <x:f>IF(MAX($N$4:$N$35)=MIN($N$4:$N$35),50,100-100*(LN(1+N21)-LN(1+MIN($N$4:$N$35)))/(LN(1+MAX($N$4:$N$35))-LN(1+MIN($N$4:$N$35))))</x:f>
        <x:v>21.55685743719532</x:v>
      </x:c>
      <x:c r="AC21" s="9" t="n">
        <x:f>IF(MAX($O$4:$O$35)=MIN($O$4:$O$35),50,100*(LN(1+O21)-LN(1+MIN($O$4:$O$35)))/(LN(1+MAX($O$4:$O$35))-LN(1+MIN($O$4:$O$35))))</x:f>
        <x:v>65.1313349472115</x:v>
      </x:c>
      <x:c r="AD21" s="9" t="n">
        <x:f>IF(P21="",50,IF(MAX($P$4:$P$35)=MIN($P$4:$P$35),50,100-100*(LN(1+P21)-LN(1+MIN($P$4:$P$35)))/(LN(1+MAX($P$4:$P$35))-LN(1+MIN($P$4:$P$35)))))</x:f>
        <x:v>50</x:v>
      </x:c>
      <x:c r="AE21" s="9" t="n">
        <x:f>(R21*'Веса'!$B$7+S21*'Веса'!$B$8+T21*'Веса'!$B$9)/'Веса'!$B$26</x:f>
        <x:v>42.19085221824905</x:v>
      </x:c>
      <x:c r="AF21" s="9" t="n">
        <x:f>(U21*'Веса'!$B$10+V21*'Веса'!$B$11+W21*'Веса'!$B$12+X21*'Веса'!$B$13)/'Веса'!$B$27</x:f>
        <x:v>52.07733494084284</x:v>
      </x:c>
      <x:c r="AG21" s="9" t="n">
        <x:f>(Y21*'Веса'!$B$14+Z21*'Веса'!$B$15+AA21*'Веса'!$B$16)/'Веса'!$B$28</x:f>
        <x:v>49.500549968000364</x:v>
      </x:c>
      <x:c r="AH21" s="9" t="n">
        <x:f>(AB21*'Веса'!$B$17+AC21*'Веса'!$B$18)/'Веса'!$B$29</x:f>
        <x:v>30.271752939198553</x:v>
      </x:c>
      <x:c r="AI21" s="9" t="n">
        <x:f>AD21</x:f>
        <x:v>50</x:v>
      </x:c>
      <x:c r="AJ21" s="9" t="n">
        <x:f>(AE21*'Веса'!$B$26+AF21*'Веса'!$B$27+AG21*'Веса'!$B$28+AH21*'Веса'!$B$29+AI21*'Веса'!$B$30)/'Веса'!$B$22</x:f>
        <x:v>45.32295991003026</x:v>
      </x:c>
      <x:c r="AK21" s="9" t="n">
        <x:f>COUNTIF($AJ$4:$AJ$35,"&gt;"&amp;AJ21)+1</x:f>
        <x:v>18</x:v>
      </x:c>
      <x:c r="AL21" s="9" t="n">
        <x:f>MIN(100,50*AM21+25*IF(P21&lt;&gt;"",1,0)+25*IF(AN21="resort_or_complex_page",1,0))</x:f>
        <x:v>45.45454545454545</x:v>
      </x:c>
      <x:c r="AM21" s="35" t="n">
        <x:v>0.9090909090909091</x:v>
      </x:c>
      <x:c r="AN21" s="2" t="str">
        <x:v>manual_review_required</x:v>
      </x:c>
      <x:c r="AO21" s="2" t="str">
        <x:v>check coordinates</x:v>
      </x:c>
    </x:row>
    <x:row r="22">
      <x:c r="A22" s="2" t="str">
        <x:v>R026</x:v>
      </x:c>
      <x:c r="B22" s="2" t="str">
        <x:v>Абзаково</x:v>
      </x:c>
      <x:c r="C22" s="2" t="str">
        <x:v>Республика Башкортостан</x:v>
      </x:c>
      <x:c r="D22" s="34" t="n">
        <x:v>1908935</x:v>
      </x:c>
      <x:c r="E22" s="35" t="n">
        <x:v>-0.019391940658093132</x:v>
      </x:c>
      <x:c r="F22" s="9" t="n">
        <x:v>5.308863842928125</x:v>
      </x:c>
      <x:c r="G22" s="9" t="n">
        <x:v>19</x:v>
      </x:c>
      <x:c r="H22" s="9" t="n">
        <x:v>8</x:v>
      </x:c>
      <x:c r="I22" s="9" t="n">
        <x:v>55</x:v>
      </x:c>
      <x:c r="J22" s="9" t="n">
        <x:v>29</x:v>
      </x:c>
      <x:c r="K22" s="9" t="n">
        <x:v>55</x:v>
      </x:c>
      <x:c r="L22" s="9" t="n">
        <x:v>134.2</x:v>
      </x:c>
      <x:c r="M22" s="9" t="n">
        <x:v>80.598</x:v>
      </x:c>
      <x:c r="N22" s="9" t="n">
        <x:v>46.1</x:v>
      </x:c>
      <x:c r="O22" s="9" t="n">
        <x:v>10</x:v>
      </x:c>
      <x:c r="P22" s="34"/>
      <x:c r="Q22" s="10" t="n">
        <x:v>0</x:v>
      </x:c>
      <x:c r="R22" s="9" t="n">
        <x:f>IF(D22="",50,IF(MAX($D$4:$D$35)=MIN($D$4:$D$35),50,100*(LN(1+D22)-LN(1+MIN($D$4:$D$35)))/(LN(1+MAX($D$4:$D$35))-LN(1+MIN($D$4:$D$35)))))</x:f>
        <x:v>47.924440166747225</x:v>
      </x:c>
      <x:c r="S22" s="9" t="n">
        <x:f>IF(E22="",50,MAX(0,MIN(100,50+200*E22)))</x:f>
        <x:v>46.12161186838137</x:v>
      </x:c>
      <x:c r="T22" s="9" t="n">
        <x:f>IF(F22="",50,MAX(0,MIN(100,(F22-1)/6*100)))</x:f>
        <x:v>71.81439738213543</x:v>
      </x:c>
      <x:c r="U22" s="9" t="n">
        <x:f>IF(MAX($G$4:$G$35)=MIN($G$4:$G$35),50,100*(LN(1+G22)-LN(1+MIN($G$4:$G$35)))/(LN(1+MAX($G$4:$G$35))-LN(1+MIN($G$4:$G$35))))</x:f>
        <x:v>51.52502609214081</x:v>
      </x:c>
      <x:c r="V22" s="9" t="n">
        <x:f>IF(MAX($H$4:$H$35)=MIN($H$4:$H$35),50,100*(LN(1+H22)-LN(1+MIN($H$4:$H$35)))/(LN(1+MAX($H$4:$H$35))-LN(1+MIN($H$4:$H$35))))</x:f>
        <x:v>52.635858517054935</x:v>
      </x:c>
      <x:c r="W22" s="9" t="n">
        <x:f>IF(MAX($I$4:$I$35)=MIN($I$4:$I$35),50,100*(LN(1+I22)-LN(1+MIN($I$4:$I$35)))/(LN(1+MAX($I$4:$I$35))-LN(1+MIN($I$4:$I$35))))</x:f>
        <x:v>72.59193652572006</x:v>
      </x:c>
      <x:c r="X22" s="9" t="n">
        <x:f>IF(MAX($J$4:$J$35)=MIN($J$4:$J$35),50,100*(LN(1+J22)-LN(1+MIN($J$4:$J$35)))/(LN(1+MAX($J$4:$J$35))-LN(1+MIN($J$4:$J$35))))</x:f>
        <x:v>58.2914773920226</x:v>
      </x:c>
      <x:c r="Y22" s="9" t="n">
        <x:f>IF(MAX($K$4:$K$35)=MIN($K$4:$K$35),50,100*(K22-MIN($K$4:$K$35))/(MAX($K$4:$K$35)-MIN($K$4:$K$35)))</x:f>
        <x:v>0</x:v>
      </x:c>
      <x:c r="Z22" s="9" t="n">
        <x:f>IF(MAX($L$4:$L$35)=MIN($L$4:$L$35),50,100*(L22-MIN($L$4:$L$35))/(MAX($L$4:$L$35)-MIN($L$4:$L$35)))</x:f>
        <x:v>75.16005121638925</x:v>
      </x:c>
      <x:c r="AA22" s="9" t="n">
        <x:f>IF(MAX($M$4:$M$35)=MIN($M$4:$M$35),50,100*(LN(1+M22)-LN(1+MIN($M$4:$M$35)))/(LN(1+MAX($M$4:$M$35))-LN(1+MIN($M$4:$M$35))))</x:f>
        <x:v>4.074377514527704</x:v>
      </x:c>
      <x:c r="AB22" s="9" t="n">
        <x:f>IF(MAX($N$4:$N$35)=MIN($N$4:$N$35),50,100-100*(LN(1+N22)-LN(1+MIN($N$4:$N$35)))/(LN(1+MAX($N$4:$N$35))-LN(1+MIN($N$4:$N$35))))</x:f>
        <x:v>35.45833754820937</x:v>
      </x:c>
      <x:c r="AC22" s="9" t="n">
        <x:f>IF(MAX($O$4:$O$35)=MIN($O$4:$O$35),50,100*(LN(1+O22)-LN(1+MIN($O$4:$O$35)))/(LN(1+MAX($O$4:$O$35))-LN(1+MIN($O$4:$O$35))))</x:f>
        <x:v>39.33668445080077</x:v>
      </x:c>
      <x:c r="AD22" s="9" t="n">
        <x:f>IF(P22="",50,IF(MAX($P$4:$P$35)=MIN($P$4:$P$35),50,100-100*(LN(1+P22)-LN(1+MIN($P$4:$P$35)))/(LN(1+MAX($P$4:$P$35))-LN(1+MIN($P$4:$P$35)))))</x:f>
        <x:v>50</x:v>
      </x:c>
      <x:c r="AE22" s="9" t="n">
        <x:f>(R22*'Веса'!$B$7+S22*'Веса'!$B$8+T22*'Веса'!$B$9)/'Веса'!$B$26</x:f>
        <x:v>50.45997774407929</x:v>
      </x:c>
      <x:c r="AF22" s="9" t="n">
        <x:f>(U22*'Веса'!$B$10+V22*'Веса'!$B$11+W22*'Веса'!$B$12+X22*'Веса'!$B$13)/'Веса'!$B$27</x:f>
        <x:v>56.861415413818435</x:v>
      </x:c>
      <x:c r="AG22" s="9" t="n">
        <x:f>(Y22*'Веса'!$B$14+Z22*'Веса'!$B$15+AA22*'Веса'!$B$16)/'Веса'!$B$28</x:f>
        <x:v>23.770328619275084</x:v>
      </x:c>
      <x:c r="AH22" s="9" t="n">
        <x:f>(AB22*'Веса'!$B$17+AC22*'Веса'!$B$18)/'Веса'!$B$29</x:f>
        <x:v>36.23400692872765</x:v>
      </x:c>
      <x:c r="AI22" s="9" t="n">
        <x:f>AD22</x:f>
        <x:v>50</x:v>
      </x:c>
      <x:c r="AJ22" s="9" t="n">
        <x:f>(AE22*'Веса'!$B$26+AF22*'Веса'!$B$27+AG22*'Веса'!$B$28+AH22*'Веса'!$B$29+AI22*'Веса'!$B$30)/'Веса'!$B$22</x:f>
        <x:v>45.276811367814105</x:v>
      </x:c>
      <x:c r="AK22" s="9" t="n">
        <x:f>COUNTIF($AJ$4:$AJ$35,"&gt;"&amp;AJ22)+1</x:f>
        <x:v>19</x:v>
      </x:c>
      <x:c r="AL22" s="9" t="n">
        <x:f>MIN(100,50*AM22+25*IF(P22&lt;&gt;"",1,0)+25*IF(AN22="resort_or_complex_page",1,0))</x:f>
        <x:v>45.45454545454545</x:v>
      </x:c>
      <x:c r="AM22" s="35" t="n">
        <x:v>0.9090909090909091</x:v>
      </x:c>
      <x:c r="AN22" s="2" t="str">
        <x:v>manual_review_required</x:v>
      </x:c>
      <x:c r="AO22" s="2" t="str">
        <x:v>check coordinates</x:v>
      </x:c>
    </x:row>
    <x:row r="23">
      <x:c r="A23" s="2" t="str">
        <x:v>R021</x:v>
      </x:c>
      <x:c r="B23" s="2" t="str">
        <x:v>Гора Белая</x:v>
      </x:c>
      <x:c r="C23" s="2" t="str">
        <x:v>Свердловская область</x:v>
      </x:c>
      <x:c r="D23" s="34" t="n">
        <x:v>3479900</x:v>
      </x:c>
      <x:c r="E23" s="35" t="n">
        <x:v>0.07186111237739468</x:v>
      </x:c>
      <x:c r="F23" s="9" t="n">
        <x:v>2.6923147216874046</x:v>
      </x:c>
      <x:c r="G23" s="9" t="n">
        <x:v>5</x:v>
      </x:c>
      <x:c r="H23" s="9" t="n">
        <x:v>4</x:v>
      </x:c>
      <x:c r="I23" s="9" t="n">
        <x:v>3</x:v>
      </x:c>
      <x:c r="J23" s="9" t="n">
        <x:v>5</x:v>
      </x:c>
      <x:c r="K23" s="9" t="n">
        <x:v>74.8</x:v>
      </x:c>
      <x:c r="L23" s="9" t="n">
        <x:v>145.2</x:v>
      </x:c>
      <x:c r="M23" s="9" t="n">
        <x:v>117.24999999999996</x:v>
      </x:c>
      <x:c r="N23" s="9" t="n">
        <x:v>121.7</x:v>
      </x:c>
      <x:c r="O23" s="9" t="n">
        <x:v>3</x:v>
      </x:c>
      <x:c r="P23" s="34"/>
      <x:c r="Q23" s="10" t="n">
        <x:v>0</x:v>
      </x:c>
      <x:c r="R23" s="9" t="n">
        <x:f>IF(D23="",50,IF(MAX($D$4:$D$35)=MIN($D$4:$D$35),50,100*(LN(1+D23)-LN(1+MIN($D$4:$D$35)))/(LN(1+MAX($D$4:$D$35))-LN(1+MIN($D$4:$D$35)))))</x:f>
        <x:v>60.615307264415655</x:v>
      </x:c>
      <x:c r="S23" s="9" t="n">
        <x:f>IF(E23="",50,MAX(0,MIN(100,50+200*E23)))</x:f>
        <x:v>64.37222247547894</x:v>
      </x:c>
      <x:c r="T23" s="9" t="n">
        <x:f>IF(F23="",50,MAX(0,MIN(100,(F23-1)/6*100)))</x:f>
        <x:v>28.205245361456743</x:v>
      </x:c>
      <x:c r="U23" s="9" t="n">
        <x:f>IF(MAX($G$4:$G$35)=MIN($G$4:$G$35),50,100*(LN(1+G23)-LN(1+MIN($G$4:$G$35)))/(LN(1+MAX($G$4:$G$35))-LN(1+MIN($G$4:$G$35))))</x:f>
        <x:v>30.81732443777141</x:v>
      </x:c>
      <x:c r="V23" s="9" t="n">
        <x:f>IF(MAX($H$4:$H$35)=MIN($H$4:$H$35),50,100*(LN(1+H23)-LN(1+MIN($H$4:$H$35)))/(LN(1+MAX($H$4:$H$35))-LN(1+MIN($H$4:$H$35))))</x:f>
        <x:v>38.55506948387033</x:v>
      </x:c>
      <x:c r="W23" s="9" t="n">
        <x:f>IF(MAX($I$4:$I$35)=MIN($I$4:$I$35),50,100*(LN(1+I23)-LN(1+MIN($I$4:$I$35)))/(LN(1+MAX($I$4:$I$35))-LN(1+MIN($I$4:$I$35))))</x:f>
        <x:v>25</x:v>
      </x:c>
      <x:c r="X23" s="9" t="n">
        <x:f>IF(MAX($J$4:$J$35)=MIN($J$4:$J$35),50,100*(LN(1+J23)-LN(1+MIN($J$4:$J$35)))/(LN(1+MAX($J$4:$J$35))-LN(1+MIN($J$4:$J$35))))</x:f>
        <x:v>30.708099199290796</x:v>
      </x:c>
      <x:c r="Y23" s="9" t="n">
        <x:f>IF(MAX($K$4:$K$35)=MIN($K$4:$K$35),50,100*(K23-MIN($K$4:$K$35))/(MAX($K$4:$K$35)-MIN($K$4:$K$35)))</x:f>
        <x:v>36.397058823529406</x:v>
      </x:c>
      <x:c r="Z23" s="9" t="n">
        <x:f>IF(MAX($L$4:$L$35)=MIN($L$4:$L$35),50,100*(L23-MIN($L$4:$L$35))/(MAX($L$4:$L$35)-MIN($L$4:$L$35)))</x:f>
        <x:v>82.202304737516</x:v>
      </x:c>
      <x:c r="AA23" s="9" t="n">
        <x:f>IF(MAX($M$4:$M$35)=MIN($M$4:$M$35),50,100*(LN(1+M23)-LN(1+MIN($M$4:$M$35)))/(LN(1+MAX($M$4:$M$35))-LN(1+MIN($M$4:$M$35))))</x:f>
        <x:v>22.46068893029005</x:v>
      </x:c>
      <x:c r="AB23" s="9" t="n">
        <x:f>IF(MAX($N$4:$N$35)=MIN($N$4:$N$35),50,100-100*(LN(1+N23)-LN(1+MIN($N$4:$N$35)))/(LN(1+MAX($N$4:$N$35))-LN(1+MIN($N$4:$N$35))))</x:f>
        <x:v>14.125320506275415</x:v>
      </x:c>
      <x:c r="AC23" s="9" t="n">
        <x:f>IF(MAX($O$4:$O$35)=MIN($O$4:$O$35),50,100*(LN(1+O23)-LN(1+MIN($O$4:$O$35)))/(LN(1+MAX($O$4:$O$35))-LN(1+MIN($O$4:$O$35))))</x:f>
        <x:v>22.741703717384564</x:v>
      </x:c>
      <x:c r="AD23" s="9" t="n">
        <x:f>IF(P23="",50,IF(MAX($P$4:$P$35)=MIN($P$4:$P$35),50,100-100*(LN(1+P23)-LN(1+MIN($P$4:$P$35)))/(LN(1+MAX($P$4:$P$35))-LN(1+MIN($P$4:$P$35)))))</x:f>
        <x:v>50</x:v>
      </x:c>
      <x:c r="AE23" s="9" t="n">
        <x:f>(R23*'Веса'!$B$7+S23*'Веса'!$B$8+T23*'Веса'!$B$9)/'Веса'!$B$26</x:f>
        <x:v>57.50327832931161</x:v>
      </x:c>
      <x:c r="AF23" s="9" t="n">
        <x:f>(U23*'Веса'!$B$10+V23*'Веса'!$B$11+W23*'Веса'!$B$12+X23*'Веса'!$B$13)/'Веса'!$B$27</x:f>
        <x:v>31.80732113450715</x:v>
      </x:c>
      <x:c r="AG23" s="9" t="n">
        <x:f>(Y23*'Веса'!$B$14+Z23*'Веса'!$B$15+AA23*'Веса'!$B$16)/'Веса'!$B$28</x:f>
        <x:v>45.95772162975358</x:v>
      </x:c>
      <x:c r="AH23" s="9" t="n">
        <x:f>(AB23*'Веса'!$B$17+AC23*'Веса'!$B$18)/'Веса'!$B$29</x:f>
        <x:v>15.848597148497245</x:v>
      </x:c>
      <x:c r="AI23" s="9" t="n">
        <x:f>AD23</x:f>
        <x:v>50</x:v>
      </x:c>
      <x:c r="AJ23" s="9" t="n">
        <x:f>(AE23*'Веса'!$B$26+AF23*'Веса'!$B$27+AG23*'Веса'!$B$28+AH23*'Веса'!$B$29+AI23*'Веса'!$B$30)/'Веса'!$B$22</x:f>
        <x:v>44.22954565615188</x:v>
      </x:c>
      <x:c r="AK23" s="9" t="n">
        <x:f>COUNTIF($AJ$4:$AJ$35,"&gt;"&amp;AJ23)+1</x:f>
        <x:v>20</x:v>
      </x:c>
      <x:c r="AL23" s="9" t="n">
        <x:f>MIN(100,50*AM23+25*IF(P23&lt;&gt;"",1,0)+25*IF(AN23="resort_or_complex_page",1,0))</x:f>
        <x:v>45.45454545454545</x:v>
      </x:c>
      <x:c r="AM23" s="35" t="n">
        <x:v>0.9090909090909091</x:v>
      </x:c>
      <x:c r="AN23" s="2" t="str">
        <x:v>manual_review_required</x:v>
      </x:c>
      <x:c r="AO23" s="2" t="str">
        <x:v>check coordinates</x:v>
      </x:c>
    </x:row>
    <x:row r="24">
      <x:c r="A24" s="2" t="str">
        <x:v>R027</x:v>
      </x:c>
      <x:c r="B24" s="2" t="str">
        <x:v>Мраткино</x:v>
      </x:c>
      <x:c r="C24" s="2" t="str">
        <x:v>Республика Башкортостан</x:v>
      </x:c>
      <x:c r="D24" s="34" t="n">
        <x:v>1908935</x:v>
      </x:c>
      <x:c r="E24" s="35" t="n">
        <x:v>-0.019391940658093132</x:v>
      </x:c>
      <x:c r="F24" s="9" t="n">
        <x:v>5.308863842928125</x:v>
      </x:c>
      <x:c r="G24" s="9" t="n">
        <x:v>14</x:v>
      </x:c>
      <x:c r="H24" s="9" t="n">
        <x:v>4</x:v>
      </x:c>
      <x:c r="I24" s="9" t="n">
        <x:v>4</x:v>
      </x:c>
      <x:c r="J24" s="9" t="n">
        <x:v>61</x:v>
      </x:c>
      <x:c r="K24" s="9" t="n">
        <x:v>64.8</x:v>
      </x:c>
      <x:c r="L24" s="9" t="n">
        <x:v>131.8</x:v>
      </x:c>
      <x:c r="M24" s="9" t="n">
        <x:v>103.09599999999998</x:v>
      </x:c>
      <x:c r="N24" s="9" t="n">
        <x:v>67.6</x:v>
      </x:c>
      <x:c r="O24" s="9" t="n">
        <x:v>39</x:v>
      </x:c>
      <x:c r="P24" s="34"/>
      <x:c r="Q24" s="10" t="n">
        <x:v>0</x:v>
      </x:c>
      <x:c r="R24" s="9" t="n">
        <x:f>IF(D24="",50,IF(MAX($D$4:$D$35)=MIN($D$4:$D$35),50,100*(LN(1+D24)-LN(1+MIN($D$4:$D$35)))/(LN(1+MAX($D$4:$D$35))-LN(1+MIN($D$4:$D$35)))))</x:f>
        <x:v>47.924440166747225</x:v>
      </x:c>
      <x:c r="S24" s="9" t="n">
        <x:f>IF(E24="",50,MAX(0,MIN(100,50+200*E24)))</x:f>
        <x:v>46.12161186838137</x:v>
      </x:c>
      <x:c r="T24" s="9" t="n">
        <x:f>IF(F24="",50,MAX(0,MIN(100,(F24-1)/6*100)))</x:f>
        <x:v>71.81439738213543</x:v>
      </x:c>
      <x:c r="U24" s="9" t="n">
        <x:f>IF(MAX($G$4:$G$35)=MIN($G$4:$G$35),50,100*(LN(1+G24)-LN(1+MIN($G$4:$G$35)))/(LN(1+MAX($G$4:$G$35))-LN(1+MIN($G$4:$G$35))))</x:f>
        <x:v>46.57704511928369</x:v>
      </x:c>
      <x:c r="V24" s="9" t="n">
        <x:f>IF(MAX($H$4:$H$35)=MIN($H$4:$H$35),50,100*(LN(1+H24)-LN(1+MIN($H$4:$H$35)))/(LN(1+MAX($H$4:$H$35))-LN(1+MIN($H$4:$H$35))))</x:f>
        <x:v>38.55506948387033</x:v>
      </x:c>
      <x:c r="W24" s="9" t="n">
        <x:f>IF(MAX($I$4:$I$35)=MIN($I$4:$I$35),50,100*(LN(1+I24)-LN(1+MIN($I$4:$I$35)))/(LN(1+MAX($I$4:$I$35))-LN(1+MIN($I$4:$I$35))))</x:f>
        <x:v>29.02410118609203</x:v>
      </x:c>
      <x:c r="X24" s="9" t="n">
        <x:f>IF(MAX($J$4:$J$35)=MIN($J$4:$J$35),50,100*(LN(1+J24)-LN(1+MIN($J$4:$J$35)))/(LN(1+MAX($J$4:$J$35))-LN(1+MIN($J$4:$J$35))))</x:f>
        <x:v>70.73296069107458</x:v>
      </x:c>
      <x:c r="Y24" s="9" t="n">
        <x:f>IF(MAX($K$4:$K$35)=MIN($K$4:$K$35),50,100*(K24-MIN($K$4:$K$35))/(MAX($K$4:$K$35)-MIN($K$4:$K$35)))</x:f>
        <x:v>18.014705882352935</x:v>
      </x:c>
      <x:c r="Z24" s="9" t="n">
        <x:f>IF(MAX($L$4:$L$35)=MIN($L$4:$L$35),50,100*(L24-MIN($L$4:$L$35))/(MAX($L$4:$L$35)-MIN($L$4:$L$35)))</x:f>
        <x:v>73.62355953905251</x:v>
      </x:c>
      <x:c r="AA24" s="9" t="n">
        <x:f>IF(MAX($M$4:$M$35)=MIN($M$4:$M$35),50,100*(LN(1+M24)-LN(1+MIN($M$4:$M$35)))/(LN(1+MAX($M$4:$M$35))-LN(1+MIN($M$4:$M$35))))</x:f>
        <x:v>16.14250028533864</x:v>
      </x:c>
      <x:c r="AB24" s="9" t="n">
        <x:f>IF(MAX($N$4:$N$35)=MIN($N$4:$N$35),50,100-100*(LN(1+N24)-LN(1+MIN($N$4:$N$35)))/(LN(1+MAX($N$4:$N$35))-LN(1+MIN($N$4:$N$35))))</x:f>
        <x:v>27.080386739751958</x:v>
      </x:c>
      <x:c r="AC24" s="9" t="n">
        <x:f>IF(MAX($O$4:$O$35)=MIN($O$4:$O$35),50,100*(LN(1+O24)-LN(1+MIN($O$4:$O$35)))/(LN(1+MAX($O$4:$O$35))-LN(1+MIN($O$4:$O$35))))</x:f>
        <x:v>60.51485596957664</x:v>
      </x:c>
      <x:c r="AD24" s="9" t="n">
        <x:f>IF(P24="",50,IF(MAX($P$4:$P$35)=MIN($P$4:$P$35),50,100-100*(LN(1+P24)-LN(1+MIN($P$4:$P$35)))/(LN(1+MAX($P$4:$P$35))-LN(1+MIN($P$4:$P$35)))))</x:f>
        <x:v>50</x:v>
      </x:c>
      <x:c r="AE24" s="9" t="n">
        <x:f>(R24*'Веса'!$B$7+S24*'Веса'!$B$8+T24*'Веса'!$B$9)/'Веса'!$B$26</x:f>
        <x:v>50.45997774407929</x:v>
      </x:c>
      <x:c r="AF24" s="9" t="n">
        <x:f>(U24*'Веса'!$B$10+V24*'Веса'!$B$11+W24*'Веса'!$B$12+X24*'Веса'!$B$13)/'Веса'!$B$27</x:f>
        <x:v>43.71901302334452</x:v>
      </x:c>
      <x:c r="AG24" s="9" t="n">
        <x:f>(Y24*'Веса'!$B$14+Z24*'Веса'!$B$15+AA24*'Веса'!$B$16)/'Веса'!$B$28</x:f>
        <x:v>34.13570030025851</x:v>
      </x:c>
      <x:c r="AH24" s="9" t="n">
        <x:f>(AB24*'Веса'!$B$17+AC24*'Веса'!$B$18)/'Веса'!$B$29</x:f>
        <x:v>33.7672805857169</x:v>
      </x:c>
      <x:c r="AI24" s="9" t="n">
        <x:f>AD24</x:f>
        <x:v>50</x:v>
      </x:c>
      <x:c r="AJ24" s="9" t="n">
        <x:f>(AE24*'Веса'!$B$26+AF24*'Веса'!$B$27+AG24*'Веса'!$B$28+AH24*'Веса'!$B$29+AI24*'Веса'!$B$30)/'Веса'!$B$22</x:f>
        <x:v>43.81761247209124</x:v>
      </x:c>
      <x:c r="AK24" s="9" t="n">
        <x:f>COUNTIF($AJ$4:$AJ$35,"&gt;"&amp;AJ24)+1</x:f>
        <x:v>21</x:v>
      </x:c>
      <x:c r="AL24" s="9" t="n">
        <x:f>MIN(100,50*AM24+25*IF(P24&lt;&gt;"",1,0)+25*IF(AN24="resort_or_complex_page",1,0))</x:f>
        <x:v>45.45454545454545</x:v>
      </x:c>
      <x:c r="AM24" s="35" t="n">
        <x:v>0.9090909090909091</x:v>
      </x:c>
      <x:c r="AN24" s="2" t="str">
        <x:v>manual_review_required</x:v>
      </x:c>
      <x:c r="AO24" s="2" t="str">
        <x:v>check coordinates</x:v>
      </x:c>
    </x:row>
    <x:row r="25">
      <x:c r="A25" s="2" t="str">
        <x:v>R024</x:v>
      </x:c>
      <x:c r="B25" s="2" t="str">
        <x:v>Солнечная долина</x:v>
      </x:c>
      <x:c r="C25" s="2" t="str">
        <x:v>Челябинская область</x:v>
      </x:c>
      <x:c r="D25" s="34" t="n">
        <x:v>1848703</x:v>
      </x:c>
      <x:c r="E25" s="35" t="n">
        <x:v>0.04731876746637864</x:v>
      </x:c>
      <x:c r="F25" s="9" t="n">
        <x:v>3.5559448975849555</x:v>
      </x:c>
      <x:c r="G25" s="9" t="n">
        <x:v>20</x:v>
      </x:c>
      <x:c r="H25" s="9" t="n">
        <x:v>10</x:v>
      </x:c>
      <x:c r="I25" s="9" t="n">
        <x:v>14</x:v>
      </x:c>
      <x:c r="J25" s="9" t="n">
        <x:v>12</x:v>
      </x:c>
      <x:c r="K25" s="9" t="n">
        <x:v>55.4</x:v>
      </x:c>
      <x:c r="L25" s="9" t="n">
        <x:v>127.2</x:v>
      </x:c>
      <x:c r="M25" s="9" t="n">
        <x:v>74.158</x:v>
      </x:c>
      <x:c r="N25" s="9" t="n">
        <x:v>102.4</x:v>
      </x:c>
      <x:c r="O25" s="9" t="n">
        <x:v>17</x:v>
      </x:c>
      <x:c r="P25" s="34"/>
      <x:c r="Q25" s="10" t="n">
        <x:v>0</x:v>
      </x:c>
      <x:c r="R25" s="9" t="n">
        <x:f>IF(D25="",50,IF(MAX($D$4:$D$35)=MIN($D$4:$D$35),50,100*(LN(1+D25)-LN(1+MIN($D$4:$D$35)))/(LN(1+MAX($D$4:$D$35))-LN(1+MIN($D$4:$D$35)))))</x:f>
        <x:v>47.24681723421811</x:v>
      </x:c>
      <x:c r="S25" s="9" t="n">
        <x:f>IF(E25="",50,MAX(0,MIN(100,50+200*E25)))</x:f>
        <x:v>59.46375349327573</x:v>
      </x:c>
      <x:c r="T25" s="9" t="n">
        <x:f>IF(F25="",50,MAX(0,MIN(100,(F25-1)/6*100)))</x:f>
        <x:v>42.59908162641592</x:v>
      </x:c>
      <x:c r="U25" s="9" t="n">
        <x:f>IF(MAX($G$4:$G$35)=MIN($G$4:$G$35),50,100*(LN(1+G25)-LN(1+MIN($G$4:$G$35)))/(LN(1+MAX($G$4:$G$35))-LN(1+MIN($G$4:$G$35))))</x:f>
        <x:v>52.36419136203572</x:v>
      </x:c>
      <x:c r="V25" s="9" t="n">
        <x:f>IF(MAX($H$4:$H$35)=MIN($H$4:$H$35),50,100*(LN(1+H25)-LN(1+MIN($H$4:$H$35)))/(LN(1+MAX($H$4:$H$35))-LN(1+MIN($H$4:$H$35))))</x:f>
        <x:v>57.44304775197152</x:v>
      </x:c>
      <x:c r="W25" s="9" t="n">
        <x:f>IF(MAX($I$4:$I$35)=MIN($I$4:$I$35),50,100*(LN(1+I25)-LN(1+MIN($I$4:$I$35)))/(LN(1+MAX($I$4:$I$35))-LN(1+MIN($I$4:$I$35))))</x:f>
        <x:v>48.83613244510648</x:v>
      </x:c>
      <x:c r="X25" s="9" t="n">
        <x:f>IF(MAX($J$4:$J$35)=MIN($J$4:$J$35),50,100*(LN(1+J25)-LN(1+MIN($J$4:$J$35)))/(LN(1+MAX($J$4:$J$35))-LN(1+MIN($J$4:$J$35))))</x:f>
        <x:v>43.95942684428525</x:v>
      </x:c>
      <x:c r="Y25" s="9" t="n">
        <x:f>IF(MAX($K$4:$K$35)=MIN($K$4:$K$35),50,100*(K25-MIN($K$4:$K$35))/(MAX($K$4:$K$35)-MIN($K$4:$K$35)))</x:f>
        <x:v>0.7352941176470561</x:v>
      </x:c>
      <x:c r="Z25" s="9" t="n">
        <x:f>IF(MAX($L$4:$L$35)=MIN($L$4:$L$35),50,100*(L25-MIN($L$4:$L$35))/(MAX($L$4:$L$35)-MIN($L$4:$L$35)))</x:f>
        <x:v>70.67861715749041</x:v>
      </x:c>
      <x:c r="AA25" s="9" t="n">
        <x:f>IF(MAX($M$4:$M$35)=MIN($M$4:$M$35),50,100*(LN(1+M25)-LN(1+MIN($M$4:$M$35)))/(LN(1+MAX($M$4:$M$35))-LN(1+MIN($M$4:$M$35))))</x:f>
        <x:v>0</x:v>
      </x:c>
      <x:c r="AB25" s="9" t="n">
        <x:f>IF(MAX($N$4:$N$35)=MIN($N$4:$N$35),50,100-100*(LN(1+N25)-LN(1+MIN($N$4:$N$35)))/(LN(1+MAX($N$4:$N$35))-LN(1+MIN($N$4:$N$35))))</x:f>
        <x:v>17.938368774722008</x:v>
      </x:c>
      <x:c r="AC25" s="9" t="n">
        <x:f>IF(MAX($O$4:$O$35)=MIN($O$4:$O$35),50,100*(LN(1+O25)-LN(1+MIN($O$4:$O$35)))/(LN(1+MAX($O$4:$O$35))-LN(1+MIN($O$4:$O$35))))</x:f>
        <x:v>47.415599453257734</x:v>
      </x:c>
      <x:c r="AD25" s="9" t="n">
        <x:f>IF(P25="",50,IF(MAX($P$4:$P$35)=MIN($P$4:$P$35),50,100-100*(LN(1+P25)-LN(1+MIN($P$4:$P$35)))/(LN(1+MAX($P$4:$P$35))-LN(1+MIN($P$4:$P$35)))))</x:f>
        <x:v>50</x:v>
      </x:c>
      <x:c r="AE25" s="9" t="n">
        <x:f>(R25*'Веса'!$B$7+S25*'Веса'!$B$8+T25*'Веса'!$B$9)/'Веса'!$B$26</x:f>
        <x:v>49.72008434800724</x:v>
      </x:c>
      <x:c r="AF25" s="9" t="n">
        <x:f>(U25*'Веса'!$B$10+V25*'Веса'!$B$11+W25*'Веса'!$B$12+X25*'Веса'!$B$13)/'Веса'!$B$27</x:f>
        <x:v>52.07208762570184</x:v>
      </x:c>
      <x:c r="AG25" s="9" t="n">
        <x:f>(Y25*'Веса'!$B$14+Z25*'Веса'!$B$15+AA25*'Веса'!$B$16)/'Веса'!$B$28</x:f>
        <x:v>21.497702794305944</x:v>
      </x:c>
      <x:c r="AH25" s="9" t="n">
        <x:f>(AB25*'Веса'!$B$17+AC25*'Веса'!$B$18)/'Веса'!$B$29</x:f>
        <x:v>23.83381491042915</x:v>
      </x:c>
      <x:c r="AI25" s="9" t="n">
        <x:f>AD25</x:f>
        <x:v>50</x:v>
      </x:c>
      <x:c r="AJ25" s="9" t="n">
        <x:f>(AE25*'Веса'!$B$26+AF25*'Веса'!$B$27+AG25*'Веса'!$B$28+AH25*'Веса'!$B$29+AI25*'Веса'!$B$30)/'Веса'!$B$22</x:f>
        <x:v>42.08897769553246</x:v>
      </x:c>
      <x:c r="AK25" s="9" t="n">
        <x:f>COUNTIF($AJ$4:$AJ$35,"&gt;"&amp;AJ25)+1</x:f>
        <x:v>22</x:v>
      </x:c>
      <x:c r="AL25" s="9" t="n">
        <x:f>MIN(100,50*AM25+25*IF(P25&lt;&gt;"",1,0)+25*IF(AN25="resort_or_complex_page",1,0))</x:f>
        <x:v>45.45454545454545</x:v>
      </x:c>
      <x:c r="AM25" s="35" t="n">
        <x:v>0.9090909090909091</x:v>
      </x:c>
      <x:c r="AN25" s="2" t="str">
        <x:v>manual_review_required</x:v>
      </x:c>
      <x:c r="AO25" s="2" t="str">
        <x:v>check coordinates</x:v>
      </x:c>
    </x:row>
    <x:row r="26">
      <x:c r="A26" s="2" t="str">
        <x:v>R031</x:v>
      </x:c>
      <x:c r="B26" s="2" t="str">
        <x:v>Красная Глинка</x:v>
      </x:c>
      <x:c r="C26" s="2" t="str">
        <x:v>Самарская область</x:v>
      </x:c>
      <x:c r="D26" s="34" t="n">
        <x:v>1919859</x:v>
      </x:c>
      <x:c r="E26" s="35" t="n">
        <x:v>-0.16131792840798587</x:v>
      </x:c>
      <x:c r="F26" s="9" t="n">
        <x:v>3.8012025883150793</x:v>
      </x:c>
      <x:c r="G26" s="9" t="n">
        <x:v>12</x:v>
      </x:c>
      <x:c r="H26" s="9" t="n">
        <x:v>8</x:v>
      </x:c>
      <x:c r="I26" s="9" t="n">
        <x:v>8</x:v>
      </x:c>
      <x:c r="J26" s="9" t="n">
        <x:v>49</x:v>
      </x:c>
      <x:c r="K26" s="9" t="n">
        <x:v>59</x:v>
      </x:c>
      <x:c r="L26" s="9" t="n">
        <x:v>107.2</x:v>
      </x:c>
      <x:c r="M26" s="9" t="n">
        <x:v>106.17599999999997</x:v>
      </x:c>
      <x:c r="N26" s="9" t="n">
        <x:v>14.4</x:v>
      </x:c>
      <x:c r="O26" s="9" t="n">
        <x:v>71</x:v>
      </x:c>
      <x:c r="P26" s="34"/>
      <x:c r="Q26" s="10" t="n">
        <x:v>0</x:v>
      </x:c>
      <x:c r="R26" s="9" t="n">
        <x:f>IF(D26="",50,IF(MAX($D$4:$D$35)=MIN($D$4:$D$35),50,100*(LN(1+D26)-LN(1+MIN($D$4:$D$35)))/(LN(1+MAX($D$4:$D$35))-LN(1+MIN($D$4:$D$35)))))</x:f>
        <x:v>48.045043531450716</x:v>
      </x:c>
      <x:c r="S26" s="9" t="n">
        <x:f>IF(E26="",50,MAX(0,MIN(100,50+200*E26)))</x:f>
        <x:v>17.73641431840283</x:v>
      </x:c>
      <x:c r="T26" s="9" t="n">
        <x:f>IF(F26="",50,MAX(0,MIN(100,(F26-1)/6*100)))</x:f>
        <x:v>46.68670980525132</x:v>
      </x:c>
      <x:c r="U26" s="9" t="n">
        <x:f>IF(MAX($G$4:$G$35)=MIN($G$4:$G$35),50,100*(LN(1+G26)-LN(1+MIN($G$4:$G$35)))/(LN(1+MAX($G$4:$G$35))-LN(1+MIN($G$4:$G$35))))</x:f>
        <x:v>44.11578555764544</x:v>
      </x:c>
      <x:c r="V26" s="9" t="n">
        <x:f>IF(MAX($H$4:$H$35)=MIN($H$4:$H$35),50,100*(LN(1+H26)-LN(1+MIN($H$4:$H$35)))/(LN(1+MAX($H$4:$H$35))-LN(1+MIN($H$4:$H$35))))</x:f>
        <x:v>52.635858517054935</x:v>
      </x:c>
      <x:c r="W26" s="9" t="n">
        <x:f>IF(MAX($I$4:$I$35)=MIN($I$4:$I$35),50,100*(LN(1+I26)-LN(1+MIN($I$4:$I$35)))/(LN(1+MAX($I$4:$I$35))-LN(1+MIN($I$4:$I$35))))</x:f>
        <x:v>39.62406251802891</x:v>
      </x:c>
      <x:c r="X26" s="9" t="n">
        <x:f>IF(MAX($J$4:$J$35)=MIN($J$4:$J$35),50,100*(LN(1+J26)-LN(1+MIN($J$4:$J$35)))/(LN(1+MAX($J$4:$J$35))-LN(1+MIN($J$4:$J$35))))</x:f>
        <x:v>67.04627076554603</x:v>
      </x:c>
      <x:c r="Y26" s="9" t="n">
        <x:f>IF(MAX($K$4:$K$35)=MIN($K$4:$K$35),50,100*(K26-MIN($K$4:$K$35))/(MAX($K$4:$K$35)-MIN($K$4:$K$35)))</x:f>
        <x:v>7.352941176470588</x:v>
      </x:c>
      <x:c r="Z26" s="9" t="n">
        <x:f>IF(MAX($L$4:$L$35)=MIN($L$4:$L$35),50,100*(L26-MIN($L$4:$L$35))/(MAX($L$4:$L$35)-MIN($L$4:$L$35)))</x:f>
        <x:v>57.874519846350836</x:v>
      </x:c>
      <x:c r="AA26" s="9" t="n">
        <x:f>IF(MAX($M$4:$M$35)=MIN($M$4:$M$35),50,100*(LN(1+M26)-LN(1+MIN($M$4:$M$35)))/(LN(1+MAX($M$4:$M$35))-LN(1+MIN($M$4:$M$35))))</x:f>
        <x:v>17.587589301554146</x:v>
      </x:c>
      <x:c r="AB26" s="9" t="n">
        <x:f>IF(MAX($N$4:$N$35)=MIN($N$4:$N$35),50,100-100*(LN(1+N26)-LN(1+MIN($N$4:$N$35)))/(LN(1+MAX($N$4:$N$35))-LN(1+MIN($N$4:$N$35))))</x:f>
        <x:v>60.36597233185616</x:v>
      </x:c>
      <x:c r="AC26" s="9" t="n">
        <x:f>IF(MAX($O$4:$O$35)=MIN($O$4:$O$35),50,100*(LN(1+O26)-LN(1+MIN($O$4:$O$35)))/(LN(1+MAX($O$4:$O$35))-LN(1+MIN($O$4:$O$35))))</x:f>
        <x:v>70.1573031706423</x:v>
      </x:c>
      <x:c r="AD26" s="9" t="n">
        <x:f>IF(P26="",50,IF(MAX($P$4:$P$35)=MIN($P$4:$P$35),50,100-100*(LN(1+P26)-LN(1+MIN($P$4:$P$35)))/(LN(1+MAX($P$4:$P$35))-LN(1+MIN($P$4:$P$35)))))</x:f>
        <x:v>50</x:v>
      </x:c>
      <x:c r="AE26" s="9" t="n">
        <x:f>(R26*'Веса'!$B$7+S26*'Веса'!$B$8+T26*'Веса'!$B$9)/'Веса'!$B$26</x:f>
        <x:v>40.29809451241382</x:v>
      </x:c>
      <x:c r="AF26" s="9" t="n">
        <x:f>(U26*'Веса'!$B$10+V26*'Веса'!$B$11+W26*'Веса'!$B$12+X26*'Веса'!$B$13)/'Веса'!$B$27</x:f>
        <x:v>48.35471960330486</x:v>
      </x:c>
      <x:c r="AG26" s="9" t="n">
        <x:f>(Y26*'Веса'!$B$14+Z26*'Веса'!$B$15+AA26*'Веса'!$B$16)/'Веса'!$B$28</x:f>
        <x:v>25.57980921495973</x:v>
      </x:c>
      <x:c r="AH26" s="9" t="n">
        <x:f>(AB26*'Веса'!$B$17+AC26*'Веса'!$B$18)/'Веса'!$B$29</x:f>
        <x:v>62.32423849961339</x:v>
      </x:c>
      <x:c r="AI26" s="9" t="n">
        <x:f>AD26</x:f>
        <x:v>50</x:v>
      </x:c>
      <x:c r="AJ26" s="9" t="n">
        <x:f>(AE26*'Веса'!$B$26+AF26*'Веса'!$B$27+AG26*'Веса'!$B$28+AH26*'Веса'!$B$29+AI26*'Веса'!$B$30)/'Веса'!$B$22</x:f>
        <x:v>42.05630339874502</x:v>
      </x:c>
      <x:c r="AK26" s="9" t="n">
        <x:f>COUNTIF($AJ$4:$AJ$35,"&gt;"&amp;AJ26)+1</x:f>
        <x:v>23</x:v>
      </x:c>
      <x:c r="AL26" s="9" t="n">
        <x:f>MIN(100,50*AM26+25*IF(P26&lt;&gt;"",1,0)+25*IF(AN26="resort_or_complex_page",1,0))</x:f>
        <x:v>50</x:v>
      </x:c>
      <x:c r="AM26" s="35" t="n">
        <x:v>1</x:v>
      </x:c>
      <x:c r="AN26" s="2" t="str">
        <x:v>nearby_feature_proxy</x:v>
      </x:c>
      <x:c r="AO26" s="2" t="str">
        <x:v>coordinates are proxy</x:v>
      </x:c>
    </x:row>
    <x:row r="27">
      <x:c r="A27" s="2" t="str">
        <x:v>R014</x:v>
      </x:c>
      <x:c r="B27" s="2" t="str">
        <x:v>Кукисвумчорр</x:v>
      </x:c>
      <x:c r="C27" s="2" t="str">
        <x:v>Мурманская область</x:v>
      </x:c>
      <x:c r="D27" s="34" t="n">
        <x:v>662210</x:v>
      </x:c>
      <x:c r="E27" s="35" t="n">
        <x:v>-0.1313945877596956</x:v>
      </x:c>
      <x:c r="F27" s="9" t="n">
        <x:v>2.8907612388819257</x:v>
      </x:c>
      <x:c r="G27" s="9" t="n">
        <x:v>9</x:v>
      </x:c>
      <x:c r="H27" s="9" t="n">
        <x:v>5</x:v>
      </x:c>
      <x:c r="I27" s="9" t="n">
        <x:v>4</x:v>
      </x:c>
      <x:c r="J27" s="9" t="n">
        <x:v>19</x:v>
      </x:c>
      <x:c r="K27" s="9" t="n">
        <x:v>109.4</x:v>
      </x:c>
      <x:c r="L27" s="9" t="n">
        <x:v>166.6</x:v>
      </x:c>
      <x:c r="M27" s="9" t="n">
        <x:v>175.48999999999995</x:v>
      </x:c>
      <x:c r="N27" s="9" t="n">
        <x:v>130</x:v>
      </x:c>
      <x:c r="O27" s="9" t="n">
        <x:v>41</x:v>
      </x:c>
      <x:c r="P27" s="34"/>
      <x:c r="Q27" s="10" t="n">
        <x:v>0</x:v>
      </x:c>
      <x:c r="R27" s="9" t="n">
        <x:f>IF(D27="",50,IF(MAX($D$4:$D$35)=MIN($D$4:$D$35),50,100*(LN(1+D27)-LN(1+MIN($D$4:$D$35)))/(LN(1+MAX($D$4:$D$35))-LN(1+MIN($D$4:$D$35)))))</x:f>
        <x:v>25.548118413259573</x:v>
      </x:c>
      <x:c r="S27" s="9" t="n">
        <x:f>IF(E27="",50,MAX(0,MIN(100,50+200*E27)))</x:f>
        <x:v>23.721082448060884</x:v>
      </x:c>
      <x:c r="T27" s="9" t="n">
        <x:f>IF(F27="",50,MAX(0,MIN(100,(F27-1)/6*100)))</x:f>
        <x:v>31.512687314698763</x:v>
      </x:c>
      <x:c r="U27" s="9" t="n">
        <x:f>IF(MAX($G$4:$G$35)=MIN($G$4:$G$35),50,100*(LN(1+G27)-LN(1+MIN($G$4:$G$35)))/(LN(1+MAX($G$4:$G$35))-LN(1+MIN($G$4:$G$35))))</x:f>
        <x:v>39.603257621931306</x:v>
      </x:c>
      <x:c r="V27" s="9" t="n">
        <x:f>IF(MAX($H$4:$H$35)=MIN($H$4:$H$35),50,100*(LN(1+H27)-LN(1+MIN($H$4:$H$35)))/(LN(1+MAX($H$4:$H$35))-LN(1+MIN($H$4:$H$35))))</x:f>
        <x:v>42.92269388012125</x:v>
      </x:c>
      <x:c r="W27" s="9" t="n">
        <x:f>IF(MAX($I$4:$I$35)=MIN($I$4:$I$35),50,100*(LN(1+I27)-LN(1+MIN($I$4:$I$35)))/(LN(1+MAX($I$4:$I$35))-LN(1+MIN($I$4:$I$35))))</x:f>
        <x:v>29.02410118609203</x:v>
      </x:c>
      <x:c r="X27" s="9" t="n">
        <x:f>IF(MAX($J$4:$J$35)=MIN($J$4:$J$35),50,100*(LN(1+J27)-LN(1+MIN($J$4:$J$35)))/(LN(1+MAX($J$4:$J$35))-LN(1+MIN($J$4:$J$35))))</x:f>
        <x:v>51.342406952896646</x:v>
      </x:c>
      <x:c r="Y27" s="9" t="n">
        <x:f>IF(MAX($K$4:$K$35)=MIN($K$4:$K$35),50,100*(K27-MIN($K$4:$K$35))/(MAX($K$4:$K$35)-MIN($K$4:$K$35)))</x:f>
        <x:v>100</x:v>
      </x:c>
      <x:c r="Z27" s="9" t="n">
        <x:f>IF(MAX($L$4:$L$35)=MIN($L$4:$L$35),50,100*(L27-MIN($L$4:$L$35))/(MAX($L$4:$L$35)-MIN($L$4:$L$35)))</x:f>
        <x:v>95.90268886043533</x:v>
      </x:c>
      <x:c r="AA27" s="9" t="n">
        <x:f>IF(MAX($M$4:$M$35)=MIN($M$4:$M$35),50,100*(LN(1+M27)-LN(1+MIN($M$4:$M$35)))/(LN(1+MAX($M$4:$M$35))-LN(1+MIN($M$4:$M$35))))</x:f>
        <x:v>42.307359668459</x:v>
      </x:c>
      <x:c r="AB27" s="9" t="n">
        <x:f>IF(MAX($N$4:$N$35)=MIN($N$4:$N$35),50,100-100*(LN(1+N27)-LN(1+MIN($N$4:$N$35)))/(LN(1+MAX($N$4:$N$35))-LN(1+MIN($N$4:$N$35))))</x:f>
        <x:v>12.666942730380313</x:v>
      </x:c>
      <x:c r="AC27" s="9" t="n">
        <x:f>IF(MAX($O$4:$O$35)=MIN($O$4:$O$35),50,100*(LN(1+O27)-LN(1+MIN($O$4:$O$35)))/(LN(1+MAX($O$4:$O$35))-LN(1+MIN($O$4:$O$35))))</x:f>
        <x:v>61.31524258946264</x:v>
      </x:c>
      <x:c r="AD27" s="9" t="n">
        <x:f>IF(P27="",50,IF(MAX($P$4:$P$35)=MIN($P$4:$P$35),50,100-100*(LN(1+P27)-LN(1+MIN($P$4:$P$35)))/(LN(1+MAX($P$4:$P$35))-LN(1+MIN($P$4:$P$35)))))</x:f>
        <x:v>50</x:v>
      </x:c>
      <x:c r="AE27" s="9" t="n">
        <x:f>(R27*'Веса'!$B$7+S27*'Веса'!$B$8+T27*'Веса'!$B$9)/'Веса'!$B$26</x:f>
        <x:v>25.836930534639798</x:v>
      </x:c>
      <x:c r="AF27" s="9" t="n">
        <x:f>(U27*'Веса'!$B$10+V27*'Веса'!$B$11+W27*'Веса'!$B$12+X27*'Веса'!$B$13)/'Веса'!$B$27</x:f>
        <x:v>39.82556640677248</x:v>
      </x:c>
      <x:c r="AG27" s="9" t="n">
        <x:f>(Y27*'Веса'!$B$14+Z27*'Веса'!$B$15+AA27*'Веса'!$B$16)/'Веса'!$B$28</x:f>
        <x:v>81.46301455866829</x:v>
      </x:c>
      <x:c r="AH27" s="9" t="n">
        <x:f>(AB27*'Веса'!$B$17+AC27*'Веса'!$B$18)/'Веса'!$B$29</x:f>
        <x:v>22.39660270219678</x:v>
      </x:c>
      <x:c r="AI27" s="9" t="n">
        <x:f>AD27</x:f>
        <x:v>50</x:v>
      </x:c>
      <x:c r="AJ27" s="9" t="n">
        <x:f>(AE27*'Веса'!$B$26+AF27*'Веса'!$B$27+AG27*'Веса'!$B$28+AH27*'Веса'!$B$29+AI27*'Веса'!$B$30)/'Веса'!$B$22</x:f>
        <x:v>41.323426997502374</x:v>
      </x:c>
      <x:c r="AK27" s="9" t="n">
        <x:f>COUNTIF($AJ$4:$AJ$35,"&gt;"&amp;AJ27)+1</x:f>
        <x:v>24</x:v>
      </x:c>
      <x:c r="AL27" s="9" t="n">
        <x:f>MIN(100,50*AM27+25*IF(P27&lt;&gt;"",1,0)+25*IF(AN27="resort_or_complex_page",1,0))</x:f>
        <x:v>45.45454545454545</x:v>
      </x:c>
      <x:c r="AM27" s="35" t="n">
        <x:v>0.9090909090909091</x:v>
      </x:c>
      <x:c r="AN27" s="2" t="str">
        <x:v>manual_review_required</x:v>
      </x:c>
      <x:c r="AO27" s="2" t="str">
        <x:v>check coordinates; OSM radii overlap</x:v>
      </x:c>
    </x:row>
    <x:row r="28">
      <x:c r="A28" s="2" t="str">
        <x:v>R011</x:v>
      </x:c>
      <x:c r="B28" s="2" t="str">
        <x:v>Манжерок</x:v>
      </x:c>
      <x:c r="C28" s="2" t="str">
        <x:v>Республика Алтай</x:v>
      </x:c>
      <x:c r="D28" s="34" t="n">
        <x:v>856845</x:v>
      </x:c>
      <x:c r="E28" s="35" t="n">
        <x:v>-0.17613117364373587</x:v>
      </x:c>
      <x:c r="F28" s="9" t="n">
        <x:v>2.8801090045457465</x:v>
      </x:c>
      <x:c r="G28" s="9" t="n">
        <x:v>53</x:v>
      </x:c>
      <x:c r="H28" s="9" t="n">
        <x:v>13</x:v>
      </x:c>
      <x:c r="I28" s="9" t="n">
        <x:v>57</x:v>
      </x:c>
      <x:c r="J28" s="9" t="n">
        <x:v>54</x:v>
      </x:c>
      <x:c r="K28" s="9" t="n">
        <x:v>76.6</x:v>
      </x:c>
      <x:c r="L28" s="9" t="n">
        <x:v>122.8</x:v>
      </x:c>
      <x:c r="M28" s="9" t="n">
        <x:v>127.21799999999996</x:v>
      </x:c>
      <x:c r="N28" s="9" t="n">
        <x:v>230.3</x:v>
      </x:c>
      <x:c r="O28" s="9" t="n">
        <x:v>3</x:v>
      </x:c>
      <x:c r="P28" s="34"/>
      <x:c r="Q28" s="10" t="n">
        <x:v>0</x:v>
      </x:c>
      <x:c r="R28" s="9" t="n">
        <x:f>IF(D28="",50,IF(MAX($D$4:$D$35)=MIN($D$4:$D$35),50,100*(LN(1+D28)-LN(1+MIN($D$4:$D$35)))/(LN(1+MAX($D$4:$D$35))-LN(1+MIN($D$4:$D$35)))))</x:f>
        <x:v>30.994139697125732</x:v>
      </x:c>
      <x:c r="S28" s="9" t="n">
        <x:f>IF(E28="",50,MAX(0,MIN(100,50+200*E28)))</x:f>
        <x:v>14.773765271252827</x:v>
      </x:c>
      <x:c r="T28" s="9" t="n">
        <x:f>IF(F28="",50,MAX(0,MIN(100,(F28-1)/6*100)))</x:f>
        <x:v>31.335150075762442</x:v>
      </x:c>
      <x:c r="U28" s="9" t="n">
        <x:f>IF(MAX($G$4:$G$35)=MIN($G$4:$G$35),50,100*(LN(1+G28)-LN(1+MIN($G$4:$G$35)))/(LN(1+MAX($G$4:$G$35))-LN(1+MIN($G$4:$G$35))))</x:f>
        <x:v>68.60843637289521</x:v>
      </x:c>
      <x:c r="V28" s="9" t="n">
        <x:f>IF(MAX($H$4:$H$35)=MIN($H$4:$H$35),50,100*(LN(1+H28)-LN(1+MIN($H$4:$H$35)))/(LN(1+MAX($H$4:$H$35))-LN(1+MIN($H$4:$H$35))))</x:f>
        <x:v>63.22023231163305</x:v>
      </x:c>
      <x:c r="W28" s="9" t="n">
        <x:f>IF(MAX($I$4:$I$35)=MIN($I$4:$I$35),50,100*(LN(1+I28)-LN(1+MIN($I$4:$I$35)))/(LN(1+MAX($I$4:$I$35))-LN(1+MIN($I$4:$I$35))))</x:f>
        <x:v>73.22476243909465</x:v>
      </x:c>
      <x:c r="X28" s="9" t="n">
        <x:f>IF(MAX($J$4:$J$35)=MIN($J$4:$J$35),50,100*(LN(1+J28)-LN(1+MIN($J$4:$J$35)))/(LN(1+MAX($J$4:$J$35))-LN(1+MIN($J$4:$J$35))))</x:f>
        <x:v>68.6797458532454</x:v>
      </x:c>
      <x:c r="Y28" s="9" t="n">
        <x:f>IF(MAX($K$4:$K$35)=MIN($K$4:$K$35),50,100*(K28-MIN($K$4:$K$35))/(MAX($K$4:$K$35)-MIN($K$4:$K$35)))</x:f>
        <x:v>39.70588235294117</x:v>
      </x:c>
      <x:c r="Z28" s="9" t="n">
        <x:f>IF(MAX($L$4:$L$35)=MIN($L$4:$L$35),50,100*(L28-MIN($L$4:$L$35))/(MAX($L$4:$L$35)-MIN($L$4:$L$35)))</x:f>
        <x:v>67.8617157490397</x:v>
      </x:c>
      <x:c r="AA28" s="9" t="n">
        <x:f>IF(MAX($M$4:$M$35)=MIN($M$4:$M$35),50,100*(LN(1+M28)-LN(1+MIN($M$4:$M$35)))/(LN(1+MAX($M$4:$M$35))-LN(1+MIN($M$4:$M$35))))</x:f>
        <x:v>26.471567382499646</x:v>
      </x:c>
      <x:c r="AB28" s="9" t="n">
        <x:f>IF(MAX($N$4:$N$35)=MIN($N$4:$N$35),50,100-100*(LN(1+N28)-LN(1+MIN($N$4:$N$35)))/(LN(1+MAX($N$4:$N$35))-LN(1+MIN($N$4:$N$35))))</x:f>
        <x:v>0</x:v>
      </x:c>
      <x:c r="AC28" s="9" t="n">
        <x:f>IF(MAX($O$4:$O$35)=MIN($O$4:$O$35),50,100*(LN(1+O28)-LN(1+MIN($O$4:$O$35)))/(LN(1+MAX($O$4:$O$35))-LN(1+MIN($O$4:$O$35))))</x:f>
        <x:v>22.741703717384564</x:v>
      </x:c>
      <x:c r="AD28" s="9" t="n">
        <x:f>IF(P28="",50,IF(MAX($P$4:$P$35)=MIN($P$4:$P$35),50,100-100*(LN(1+P28)-LN(1+MIN($P$4:$P$35)))/(LN(1+MAX($P$4:$P$35))-LN(1+MIN($P$4:$P$35)))))</x:f>
        <x:v>50</x:v>
      </x:c>
      <x:c r="AE28" s="9" t="n">
        <x:f>(R28*'Веса'!$B$7+S28*'Веса'!$B$8+T28*'Веса'!$B$9)/'Веса'!$B$26</x:f>
        <x:v>26.981672387987096</x:v>
      </x:c>
      <x:c r="AF28" s="9" t="n">
        <x:f>(U28*'Веса'!$B$10+V28*'Веса'!$B$11+W28*'Веса'!$B$12+X28*'Веса'!$B$13)/'Веса'!$B$27</x:f>
        <x:v>68.03156158662371</x:v>
      </x:c>
      <x:c r="AG28" s="9" t="n">
        <x:f>(Y28*'Веса'!$B$14+Z28*'Веса'!$B$15+AA28*'Веса'!$B$16)/'Веса'!$B$28</x:f>
        <x:v>44.18233788063827</x:v>
      </x:c>
      <x:c r="AH28" s="9" t="n">
        <x:f>(AB28*'Веса'!$B$17+AC28*'Веса'!$B$18)/'Веса'!$B$29</x:f>
        <x:v>4.5483407434769125</x:v>
      </x:c>
      <x:c r="AI28" s="9" t="n">
        <x:f>AD28</x:f>
        <x:v>50</x:v>
      </x:c>
      <x:c r="AJ28" s="9" t="n">
        <x:f>(AE28*'Веса'!$B$26+AF28*'Веса'!$B$27+AG28*'Веса'!$B$28+AH28*'Веса'!$B$29+AI28*'Веса'!$B$30)/'Веса'!$B$22</x:f>
        <x:v>39.59186100232611</x:v>
      </x:c>
      <x:c r="AK28" s="9" t="n">
        <x:f>COUNTIF($AJ$4:$AJ$35,"&gt;"&amp;AJ28)+1</x:f>
        <x:v>25</x:v>
      </x:c>
      <x:c r="AL28" s="9" t="n">
        <x:f>MIN(100,50*AM28+25*IF(P28&lt;&gt;"",1,0)+25*IF(AN28="resort_or_complex_page",1,0))</x:f>
        <x:v>45.45454545454545</x:v>
      </x:c>
      <x:c r="AM28" s="35" t="n">
        <x:v>0.9090909090909091</x:v>
      </x:c>
      <x:c r="AN28" s="2" t="str">
        <x:v>manual_review_required</x:v>
      </x:c>
      <x:c r="AO28" s="2" t="str">
        <x:v>check coordinates</x:v>
      </x:c>
    </x:row>
    <x:row r="29">
      <x:c r="A29" s="2" t="str">
        <x:v>R025</x:v>
      </x:c>
      <x:c r="B29" s="2" t="str">
        <x:v>Завьялиха</x:v>
      </x:c>
      <x:c r="C29" s="2" t="str">
        <x:v>Челябинская область</x:v>
      </x:c>
      <x:c r="D29" s="34" t="n">
        <x:v>1848703</x:v>
      </x:c>
      <x:c r="E29" s="35" t="n">
        <x:v>0.04731876746637864</x:v>
      </x:c>
      <x:c r="F29" s="9" t="n">
        <x:v>3.5559448975849555</x:v>
      </x:c>
      <x:c r="G29" s="9" t="n">
        <x:v>5</x:v>
      </x:c>
      <x:c r="H29" s="9" t="n">
        <x:v>2</x:v>
      </x:c>
      <x:c r="I29" s="9" t="n">
        <x:v>1</x:v>
      </x:c>
      <x:c r="J29" s="9" t="n">
        <x:v>3</x:v>
      </x:c>
      <x:c r="K29" s="9" t="n">
        <x:v>81</x:v>
      </x:c>
      <x:c r="L29" s="9" t="n">
        <x:v>130.6</x:v>
      </x:c>
      <x:c r="M29" s="9" t="n">
        <x:v>122.90599999999998</x:v>
      </x:c>
      <x:c r="N29" s="9" t="n">
        <x:v>157.9</x:v>
      </x:c>
      <x:c r="O29" s="9" t="n">
        <x:v>0</x:v>
      </x:c>
      <x:c r="P29" s="34"/>
      <x:c r="Q29" s="10" t="n">
        <x:v>0</x:v>
      </x:c>
      <x:c r="R29" s="9" t="n">
        <x:f>IF(D29="",50,IF(MAX($D$4:$D$35)=MIN($D$4:$D$35),50,100*(LN(1+D29)-LN(1+MIN($D$4:$D$35)))/(LN(1+MAX($D$4:$D$35))-LN(1+MIN($D$4:$D$35)))))</x:f>
        <x:v>47.24681723421811</x:v>
      </x:c>
      <x:c r="S29" s="9" t="n">
        <x:f>IF(E29="",50,MAX(0,MIN(100,50+200*E29)))</x:f>
        <x:v>59.46375349327573</x:v>
      </x:c>
      <x:c r="T29" s="9" t="n">
        <x:f>IF(F29="",50,MAX(0,MIN(100,(F29-1)/6*100)))</x:f>
        <x:v>42.59908162641592</x:v>
      </x:c>
      <x:c r="U29" s="9" t="n">
        <x:f>IF(MAX($G$4:$G$35)=MIN($G$4:$G$35),50,100*(LN(1+G29)-LN(1+MIN($G$4:$G$35)))/(LN(1+MAX($G$4:$G$35))-LN(1+MIN($G$4:$G$35))))</x:f>
        <x:v>30.81732443777141</x:v>
      </x:c>
      <x:c r="V29" s="9" t="n">
        <x:f>IF(MAX($H$4:$H$35)=MIN($H$4:$H$35),50,100*(LN(1+H29)-LN(1+MIN($H$4:$H$35)))/(LN(1+MAX($H$4:$H$35))-LN(1+MIN($H$4:$H$35))))</x:f>
        <x:v>26.317929258527464</x:v>
      </x:c>
      <x:c r="W29" s="9" t="n">
        <x:f>IF(MAX($I$4:$I$35)=MIN($I$4:$I$35),50,100*(LN(1+I29)-LN(1+MIN($I$4:$I$35)))/(LN(1+MAX($I$4:$I$35))-LN(1+MIN($I$4:$I$35))))</x:f>
        <x:v>12.5</x:v>
      </x:c>
      <x:c r="X29" s="9" t="n">
        <x:f>IF(MAX($J$4:$J$35)=MIN($J$4:$J$35),50,100*(LN(1+J29)-LN(1+MIN($J$4:$J$35)))/(LN(1+MAX($J$4:$J$35))-LN(1+MIN($J$4:$J$35))))</x:f>
        <x:v>23.759028760164846</x:v>
      </x:c>
      <x:c r="Y29" s="9" t="n">
        <x:f>IF(MAX($K$4:$K$35)=MIN($K$4:$K$35),50,100*(K29-MIN($K$4:$K$35))/(MAX($K$4:$K$35)-MIN($K$4:$K$35)))</x:f>
        <x:v>47.79411764705882</x:v>
      </x:c>
      <x:c r="Z29" s="9" t="n">
        <x:f>IF(MAX($L$4:$L$35)=MIN($L$4:$L$35),50,100*(L29-MIN($L$4:$L$35))/(MAX($L$4:$L$35)-MIN($L$4:$L$35)))</x:f>
        <x:v>72.85531370038413</x:v>
      </x:c>
      <x:c r="AA29" s="9" t="n">
        <x:f>IF(MAX($M$4:$M$35)=MIN($M$4:$M$35),50,100*(LN(1+M29)-LN(1+MIN($M$4:$M$35)))/(LN(1+MAX($M$4:$M$35))-LN(1+MIN($M$4:$M$35))))</x:f>
        <x:v>24.776207233199894</x:v>
      </x:c>
      <x:c r="AB29" s="9" t="n">
        <x:f>IF(MAX($N$4:$N$35)=MIN($N$4:$N$35),50,100-100*(LN(1+N29)-LN(1+MIN($N$4:$N$35)))/(LN(1+MAX($N$4:$N$35))-LN(1+MIN($N$4:$N$35))))</x:f>
        <x:v>8.365049478688988</x:v>
      </x:c>
      <x:c r="AC29" s="9" t="n">
        <x:f>IF(MAX($O$4:$O$35)=MIN($O$4:$O$35),50,100*(LN(1+O29)-LN(1+MIN($O$4:$O$35)))/(LN(1+MAX($O$4:$O$35))-LN(1+MIN($O$4:$O$35))))</x:f>
        <x:v>0</x:v>
      </x:c>
      <x:c r="AD29" s="9" t="n">
        <x:f>IF(P29="",50,IF(MAX($P$4:$P$35)=MIN($P$4:$P$35),50,100-100*(LN(1+P29)-LN(1+MIN($P$4:$P$35)))/(LN(1+MAX($P$4:$P$35))-LN(1+MIN($P$4:$P$35)))))</x:f>
        <x:v>50</x:v>
      </x:c>
      <x:c r="AE29" s="9" t="n">
        <x:f>(R29*'Веса'!$B$7+S29*'Веса'!$B$8+T29*'Веса'!$B$9)/'Веса'!$B$26</x:f>
        <x:v>49.72008434800724</x:v>
      </x:c>
      <x:c r="AF29" s="9" t="n">
        <x:f>(U29*'Веса'!$B$10+V29*'Веса'!$B$11+W29*'Веса'!$B$12+X29*'Веса'!$B$13)/'Веса'!$B$27</x:f>
        <x:v>25.047033418716037</x:v>
      </x:c>
      <x:c r="AG29" s="9" t="n">
        <x:f>(Y29*'Веса'!$B$14+Z29*'Веса'!$B$15+AA29*'Веса'!$B$16)/'Веса'!$B$28</x:f>
        <x:v>48.407103338898736</x:v>
      </x:c>
      <x:c r="AH29" s="9" t="n">
        <x:f>(AB29*'Веса'!$B$17+AC29*'Веса'!$B$18)/'Веса'!$B$29</x:f>
        <x:v>6.692039582951191</x:v>
      </x:c>
      <x:c r="AI29" s="9" t="n">
        <x:f>AD29</x:f>
        <x:v>50</x:v>
      </x:c>
      <x:c r="AJ29" s="9" t="n">
        <x:f>(AE29*'Веса'!$B$26+AF29*'Веса'!$B$27+AG29*'Веса'!$B$28+AH29*'Веса'!$B$29+AI29*'Веса'!$B$30)/'Веса'!$B$22</x:f>
        <x:v>39.000416719956775</x:v>
      </x:c>
      <x:c r="AK29" s="9" t="n">
        <x:f>COUNTIF($AJ$4:$AJ$35,"&gt;"&amp;AJ29)+1</x:f>
        <x:v>26</x:v>
      </x:c>
      <x:c r="AL29" s="9" t="n">
        <x:f>MIN(100,50*AM29+25*IF(P29&lt;&gt;"",1,0)+25*IF(AN29="resort_or_complex_page",1,0))</x:f>
        <x:v>45.45454545454545</x:v>
      </x:c>
      <x:c r="AM29" s="35" t="n">
        <x:v>0.9090909090909091</x:v>
      </x:c>
      <x:c r="AN29" s="2" t="str">
        <x:v>manual_review_required</x:v>
      </x:c>
      <x:c r="AO29" s="2" t="str">
        <x:v>check coordinates</x:v>
      </x:c>
    </x:row>
    <x:row r="30">
      <x:c r="A30" s="2" t="str">
        <x:v>R022</x:v>
      </x:c>
      <x:c r="B30" s="2" t="str">
        <x:v>Евразия</x:v>
      </x:c>
      <x:c r="C30" s="2" t="str">
        <x:v>Челябинская область</x:v>
      </x:c>
      <x:c r="D30" s="34" t="n">
        <x:v>1848703</x:v>
      </x:c>
      <x:c r="E30" s="35" t="n">
        <x:v>0.04731876746637864</x:v>
      </x:c>
      <x:c r="F30" s="9" t="n">
        <x:v>3.5559448975849555</x:v>
      </x:c>
      <x:c r="G30" s="9" t="n">
        <x:v>1</x:v>
      </x:c>
      <x:c r="H30" s="9" t="n">
        <x:v>1</x:v>
      </x:c>
      <x:c r="I30" s="9" t="n">
        <x:v>7</x:v>
      </x:c>
      <x:c r="J30" s="9" t="n">
        <x:v>76</x:v>
      </x:c>
      <x:c r="K30" s="9" t="n">
        <x:v>59.8</x:v>
      </x:c>
      <x:c r="L30" s="9" t="n">
        <x:v>135.8</x:v>
      </x:c>
      <x:c r="M30" s="9" t="n">
        <x:v>79.68800000000002</x:v>
      </x:c>
      <x:c r="N30" s="9" t="n">
        <x:v>114.5</x:v>
      </x:c>
      <x:c r="O30" s="9" t="n">
        <x:v>26</x:v>
      </x:c>
      <x:c r="P30" s="34" t="n">
        <x:v>2641.6666666666665</x:v>
      </x:c>
      <x:c r="Q30" s="10" t="n">
        <x:v>3</x:v>
      </x:c>
      <x:c r="R30" s="9" t="n">
        <x:f>IF(D30="",50,IF(MAX($D$4:$D$35)=MIN($D$4:$D$35),50,100*(LN(1+D30)-LN(1+MIN($D$4:$D$35)))/(LN(1+MAX($D$4:$D$35))-LN(1+MIN($D$4:$D$35)))))</x:f>
        <x:v>47.24681723421811</x:v>
      </x:c>
      <x:c r="S30" s="9" t="n">
        <x:f>IF(E30="",50,MAX(0,MIN(100,50+200*E30)))</x:f>
        <x:v>59.46375349327573</x:v>
      </x:c>
      <x:c r="T30" s="9" t="n">
        <x:f>IF(F30="",50,MAX(0,MIN(100,(F30-1)/6*100)))</x:f>
        <x:v>42.59908162641592</x:v>
      </x:c>
      <x:c r="U30" s="9" t="n">
        <x:f>IF(MAX($G$4:$G$35)=MIN($G$4:$G$35),50,100*(LN(1+G30)-LN(1+MIN($G$4:$G$35)))/(LN(1+MAX($G$4:$G$35))-LN(1+MIN($G$4:$G$35))))</x:f>
        <x:v>11.92176847020951</x:v>
      </x:c>
      <x:c r="V30" s="9" t="n">
        <x:f>IF(MAX($H$4:$H$35)=MIN($H$4:$H$35),50,100*(LN(1+H30)-LN(1+MIN($H$4:$H$35)))/(LN(1+MAX($H$4:$H$35))-LN(1+MIN($H$4:$H$35))))</x:f>
        <x:v>16.604764621593784</x:v>
      </x:c>
      <x:c r="W30" s="9" t="n">
        <x:f>IF(MAX($I$4:$I$35)=MIN($I$4:$I$35),50,100*(LN(1+I30)-LN(1+MIN($I$4:$I$35)))/(LN(1+MAX($I$4:$I$35))-LN(1+MIN($I$4:$I$35))))</x:f>
        <x:v>37.5</x:v>
      </x:c>
      <x:c r="X30" s="9" t="n">
        <x:f>IF(MAX($J$4:$J$35)=MIN($J$4:$J$35),50,100*(LN(1+J30)-LN(1+MIN($J$4:$J$35)))/(LN(1+MAX($J$4:$J$35))-LN(1+MIN($J$4:$J$35))))</x:f>
        <x:v>74.44638082709207</x:v>
      </x:c>
      <x:c r="Y30" s="9" t="n">
        <x:f>IF(MAX($K$4:$K$35)=MIN($K$4:$K$35),50,100*(K30-MIN($K$4:$K$35))/(MAX($K$4:$K$35)-MIN($K$4:$K$35)))</x:f>
        <x:v>8.8235294117647</x:v>
      </x:c>
      <x:c r="Z30" s="9" t="n">
        <x:f>IF(MAX($L$4:$L$35)=MIN($L$4:$L$35),50,100*(L30-MIN($L$4:$L$35))/(MAX($L$4:$L$35)-MIN($L$4:$L$35)))</x:f>
        <x:v>76.18437900128043</x:v>
      </x:c>
      <x:c r="AA30" s="9" t="n">
        <x:f>IF(MAX($M$4:$M$35)=MIN($M$4:$M$35),50,100*(LN(1+M30)-LN(1+MIN($M$4:$M$35)))/(LN(1+MAX($M$4:$M$35))-LN(1+MIN($M$4:$M$35))))</x:f>
        <x:v>3.518575718465534</x:v>
      </x:c>
      <x:c r="AB30" s="9" t="n">
        <x:f>IF(MAX($N$4:$N$35)=MIN($N$4:$N$35),50,100-100*(LN(1+N30)-LN(1+MIN($N$4:$N$35)))/(LN(1+MAX($N$4:$N$35))-LN(1+MIN($N$4:$N$35))))</x:f>
        <x:v>15.472670583978541</x:v>
      </x:c>
      <x:c r="AC30" s="9" t="n">
        <x:f>IF(MAX($O$4:$O$35)=MIN($O$4:$O$35),50,100*(LN(1+O30)-LN(1+MIN($O$4:$O$35)))/(LN(1+MAX($O$4:$O$35))-LN(1+MIN($O$4:$O$35))))</x:f>
        <x:v>54.067121391848175</x:v>
      </x:c>
      <x:c r="AD30" s="9" t="n">
        <x:f>IF(P30="",50,IF(MAX($P$4:$P$35)=MIN($P$4:$P$35),50,100-100*(LN(1+P30)-LN(1+MIN($P$4:$P$35)))/(LN(1+MAX($P$4:$P$35))-LN(1+MIN($P$4:$P$35)))))</x:f>
        <x:v>86.16186715699138</x:v>
      </x:c>
      <x:c r="AE30" s="9" t="n">
        <x:f>(R30*'Веса'!$B$7+S30*'Веса'!$B$8+T30*'Веса'!$B$9)/'Веса'!$B$26</x:f>
        <x:v>49.72008434800724</x:v>
      </x:c>
      <x:c r="AF30" s="9" t="n">
        <x:f>(U30*'Веса'!$B$10+V30*'Веса'!$B$11+W30*'Веса'!$B$12+X30*'Веса'!$B$13)/'Веса'!$B$27</x:f>
        <x:v>25.851607181381112</x:v>
      </x:c>
      <x:c r="AG30" s="9" t="n">
        <x:f>(Y30*'Веса'!$B$14+Z30*'Веса'!$B$15+AA30*'Веса'!$B$16)/'Веса'!$B$28</x:f>
        <x:v>27.440298180629668</x:v>
      </x:c>
      <x:c r="AH30" s="9" t="n">
        <x:f>(AB30*'Веса'!$B$17+AC30*'Веса'!$B$18)/'Веса'!$B$29</x:f>
        <x:v>23.19156074555247</x:v>
      </x:c>
      <x:c r="AI30" s="9" t="n">
        <x:f>AD30</x:f>
        <x:v>86.16186715699138</x:v>
      </x:c>
      <x:c r="AJ30" s="9" t="n">
        <x:f>(AE30*'Веса'!$B$26+AF30*'Веса'!$B$27+AG30*'Веса'!$B$28+AH30*'Веса'!$B$29+AI30*'Веса'!$B$30)/'Веса'!$B$22</x:f>
        <x:v>38.46624460307893</x:v>
      </x:c>
      <x:c r="AK30" s="9" t="n">
        <x:f>COUNTIF($AJ$4:$AJ$35,"&gt;"&amp;AJ30)+1</x:f>
        <x:v>27</x:v>
      </x:c>
      <x:c r="AL30" s="9" t="n">
        <x:f>MIN(100,50*AM30+25*IF(P30&lt;&gt;"",1,0)+25*IF(AN30="resort_or_complex_page",1,0))</x:f>
        <x:v>70.45454545454545</x:v>
      </x:c>
      <x:c r="AM30" s="35" t="n">
        <x:v>0.9090909090909091</x:v>
      </x:c>
      <x:c r="AN30" s="2" t="str">
        <x:v>manual_review_required</x:v>
      </x:c>
      <x:c r="AO30" s="2" t="str">
        <x:v>check coordinates</x:v>
      </x:c>
    </x:row>
    <x:row r="31">
      <x:c r="A31" s="2" t="str">
        <x:v>R012</x:v>
      </x:c>
      <x:c r="B31" s="2" t="str">
        <x:v>Телецкий</x:v>
      </x:c>
      <x:c r="C31" s="2" t="str">
        <x:v>Республика Алтай</x:v>
      </x:c>
      <x:c r="D31" s="34" t="n">
        <x:v>856845</x:v>
      </x:c>
      <x:c r="E31" s="35" t="n">
        <x:v>-0.17613117364373587</x:v>
      </x:c>
      <x:c r="F31" s="9" t="n">
        <x:v>2.8801090045457465</x:v>
      </x:c>
      <x:c r="G31" s="9" t="n">
        <x:v>8</x:v>
      </x:c>
      <x:c r="H31" s="9" t="n">
        <x:v>2</x:v>
      </x:c>
      <x:c r="I31" s="9" t="n">
        <x:v>43</x:v>
      </x:c>
      <x:c r="J31" s="9" t="n">
        <x:v>34</x:v>
      </x:c>
      <x:c r="K31" s="9" t="n">
        <x:v>89.4</x:v>
      </x:c>
      <x:c r="L31" s="9" t="n">
        <x:v>132</x:v>
      </x:c>
      <x:c r="M31" s="9" t="n">
        <x:v>242.9979999999999</x:v>
      </x:c>
      <x:c r="N31" s="9" t="n">
        <x:v>228.1</x:v>
      </x:c>
      <x:c r="O31" s="9" t="n">
        <x:v>6</x:v>
      </x:c>
      <x:c r="P31" s="34"/>
      <x:c r="Q31" s="10" t="n">
        <x:v>0</x:v>
      </x:c>
      <x:c r="R31" s="9" t="n">
        <x:f>IF(D31="",50,IF(MAX($D$4:$D$35)=MIN($D$4:$D$35),50,100*(LN(1+D31)-LN(1+MIN($D$4:$D$35)))/(LN(1+MAX($D$4:$D$35))-LN(1+MIN($D$4:$D$35)))))</x:f>
        <x:v>30.994139697125732</x:v>
      </x:c>
      <x:c r="S31" s="9" t="n">
        <x:f>IF(E31="",50,MAX(0,MIN(100,50+200*E31)))</x:f>
        <x:v>14.773765271252827</x:v>
      </x:c>
      <x:c r="T31" s="9" t="n">
        <x:f>IF(F31="",50,MAX(0,MIN(100,(F31-1)/6*100)))</x:f>
        <x:v>31.335150075762442</x:v>
      </x:c>
      <x:c r="U31" s="9" t="n">
        <x:f>IF(MAX($G$4:$G$35)=MIN($G$4:$G$35),50,100*(LN(1+G31)-LN(1+MIN($G$4:$G$35)))/(LN(1+MAX($G$4:$G$35))-LN(1+MIN($G$4:$G$35))))</x:f>
        <x:v>37.7911119351238</x:v>
      </x:c>
      <x:c r="V31" s="9" t="n">
        <x:f>IF(MAX($H$4:$H$35)=MIN($H$4:$H$35),50,100*(LN(1+H31)-LN(1+MIN($H$4:$H$35)))/(LN(1+MAX($H$4:$H$35))-LN(1+MIN($H$4:$H$35))))</x:f>
        <x:v>26.317929258527464</x:v>
      </x:c>
      <x:c r="W31" s="9" t="n">
        <x:f>IF(MAX($I$4:$I$35)=MIN($I$4:$I$35),50,100*(LN(1+I31)-LN(1+MIN($I$4:$I$35)))/(LN(1+MAX($I$4:$I$35))-LN(1+MIN($I$4:$I$35))))</x:f>
        <x:v>68.2428952329662</x:v>
      </x:c>
      <x:c r="X31" s="9" t="n">
        <x:f>IF(MAX($J$4:$J$35)=MIN($J$4:$J$35),50,100*(LN(1+J31)-LN(1+MIN($J$4:$J$35)))/(LN(1+MAX($J$4:$J$35))-LN(1+MIN($J$4:$J$35))))</x:f>
        <x:v>60.93339135931028</x:v>
      </x:c>
      <x:c r="Y31" s="9" t="n">
        <x:f>IF(MAX($K$4:$K$35)=MIN($K$4:$K$35),50,100*(K31-MIN($K$4:$K$35))/(MAX($K$4:$K$35)-MIN($K$4:$K$35)))</x:f>
        <x:v>63.23529411764706</x:v>
      </x:c>
      <x:c r="Z31" s="9" t="n">
        <x:f>IF(MAX($L$4:$L$35)=MIN($L$4:$L$35),50,100*(L31-MIN($L$4:$L$35))/(MAX($L$4:$L$35)-MIN($L$4:$L$35)))</x:f>
        <x:v>73.7516005121639</x:v>
      </x:c>
      <x:c r="AA31" s="9" t="n">
        <x:f>IF(MAX($M$4:$M$35)=MIN($M$4:$M$35),50,100*(LN(1+M31)-LN(1+MIN($M$4:$M$35)))/(LN(1+MAX($M$4:$M$35))-LN(1+MIN($M$4:$M$35))))</x:f>
        <x:v>58.35940557934218</x:v>
      </x:c>
      <x:c r="AB31" s="9" t="n">
        <x:f>IF(MAX($N$4:$N$35)=MIN($N$4:$N$35),50,100-100*(LN(1+N31)-LN(1+MIN($N$4:$N$35)))/(LN(1+MAX($N$4:$N$35))-LN(1+MIN($N$4:$N$35))))</x:f>
        <x:v>0.21293549743852225</x:v>
      </x:c>
      <x:c r="AC31" s="9" t="n">
        <x:f>IF(MAX($O$4:$O$35)=MIN($O$4:$O$35),50,100*(LN(1+O31)-LN(1+MIN($O$4:$O$35)))/(LN(1+MAX($O$4:$O$35))-LN(1+MIN($O$4:$O$35))))</x:f>
        <x:v>31.922016933487633</x:v>
      </x:c>
      <x:c r="AD31" s="9" t="n">
        <x:f>IF(P31="",50,IF(MAX($P$4:$P$35)=MIN($P$4:$P$35),50,100-100*(LN(1+P31)-LN(1+MIN($P$4:$P$35)))/(LN(1+MAX($P$4:$P$35))-LN(1+MIN($P$4:$P$35)))))</x:f>
        <x:v>50</x:v>
      </x:c>
      <x:c r="AE31" s="9" t="n">
        <x:f>(R31*'Веса'!$B$7+S31*'Веса'!$B$8+T31*'Веса'!$B$9)/'Веса'!$B$26</x:f>
        <x:v>26.981672387987096</x:v>
      </x:c>
      <x:c r="AF31" s="9" t="n">
        <x:f>(U31*'Веса'!$B$10+V31*'Веса'!$B$11+W31*'Веса'!$B$12+X31*'Веса'!$B$13)/'Веса'!$B$27</x:f>
        <x:v>43.44605097614769</x:v>
      </x:c>
      <x:c r="AG31" s="9" t="n">
        <x:f>(Y31*'Веса'!$B$14+Z31*'Веса'!$B$15+AA31*'Веса'!$B$16)/'Веса'!$B$28</x:f>
        <x:v>64.92741947451064</x:v>
      </x:c>
      <x:c r="AH31" s="9" t="n">
        <x:f>(AB31*'Веса'!$B$17+AC31*'Веса'!$B$18)/'Веса'!$B$29</x:f>
        <x:v>6.554751784648344</x:v>
      </x:c>
      <x:c r="AI31" s="9" t="n">
        <x:f>AD31</x:f>
        <x:v>50</x:v>
      </x:c>
      <x:c r="AJ31" s="9" t="n">
        <x:f>(AE31*'Веса'!$B$26+AF31*'Веса'!$B$27+AG31*'Веса'!$B$28+AH31*'Веса'!$B$29+AI31*'Веса'!$B$30)/'Веса'!$B$22</x:f>
        <x:v>37.79514077259872</x:v>
      </x:c>
      <x:c r="AK31" s="9" t="n">
        <x:f>COUNTIF($AJ$4:$AJ$35,"&gt;"&amp;AJ31)+1</x:f>
        <x:v>28</x:v>
      </x:c>
      <x:c r="AL31" s="9" t="n">
        <x:f>MIN(100,50*AM31+25*IF(P31&lt;&gt;"",1,0)+25*IF(AN31="resort_or_complex_page",1,0))</x:f>
        <x:v>45.45454545454545</x:v>
      </x:c>
      <x:c r="AM31" s="35" t="n">
        <x:v>0.9090909090909091</x:v>
      </x:c>
      <x:c r="AN31" s="2" t="str">
        <x:v>manual_review_required</x:v>
      </x:c>
      <x:c r="AO31" s="2" t="str">
        <x:v>check coordinates</x:v>
      </x:c>
    </x:row>
    <x:row r="32">
      <x:c r="A32" s="2" t="str">
        <x:v>R032</x:v>
      </x:c>
      <x:c r="B32" s="2" t="str">
        <x:v>Гладенькая</x:v>
      </x:c>
      <x:c r="C32" s="2" t="str">
        <x:v>Республика Хакасия</x:v>
      </x:c>
      <x:c r="D32" s="34" t="n">
        <x:v>601913</x:v>
      </x:c>
      <x:c r="E32" s="35" t="n">
        <x:v>0.2524381337222972</x:v>
      </x:c>
      <x:c r="F32" s="9" t="n">
        <x:v>2.715669872556333</x:v>
      </x:c>
      <x:c r="G32" s="9" t="n">
        <x:v>0</x:v>
      </x:c>
      <x:c r="H32" s="9" t="n">
        <x:v>0</x:v>
      </x:c>
      <x:c r="I32" s="9" t="n">
        <x:v>3</x:v>
      </x:c>
      <x:c r="J32" s="9" t="n">
        <x:v>10</x:v>
      </x:c>
      <x:c r="K32" s="9" t="n">
        <x:v>76.2</x:v>
      </x:c>
      <x:c r="L32" s="9" t="n">
        <x:v>129.2</x:v>
      </x:c>
      <x:c r="M32" s="9" t="n">
        <x:v>95.24199999999999</x:v>
      </x:c>
      <x:c r="N32" s="9" t="n">
        <x:v>71.2</x:v>
      </x:c>
      <x:c r="O32" s="9" t="n">
        <x:v>84</x:v>
      </x:c>
      <x:c r="P32" s="34" t="n">
        <x:v>2420</x:v>
      </x:c>
      <x:c r="Q32" s="10" t="n">
        <x:v>1</x:v>
      </x:c>
      <x:c r="R32" s="9" t="n">
        <x:f>IF(D32="",50,IF(MAX($D$4:$D$35)=MIN($D$4:$D$35),50,100*(LN(1+D32)-LN(1+MIN($D$4:$D$35)))/(LN(1+MAX($D$4:$D$35))-LN(1+MIN($D$4:$D$35)))))</x:f>
        <x:v>23.530336826705486</x:v>
      </x:c>
      <x:c r="S32" s="9" t="n">
        <x:f>IF(E32="",50,MAX(0,MIN(100,50+200*E32)))</x:f>
        <x:v>100</x:v>
      </x:c>
      <x:c r="T32" s="9" t="n">
        <x:f>IF(F32="",50,MAX(0,MIN(100,(F32-1)/6*100)))</x:f>
        <x:v>28.594497875938885</x:v>
      </x:c>
      <x:c r="U32" s="9" t="n">
        <x:f>IF(MAX($G$4:$G$35)=MIN($G$4:$G$35),50,100*(LN(1+G32)-LN(1+MIN($G$4:$G$35)))/(LN(1+MAX($G$4:$G$35))-LN(1+MIN($G$4:$G$35))))</x:f>
        <x:v>0</x:v>
      </x:c>
      <x:c r="V32" s="9" t="n">
        <x:f>IF(MAX($H$4:$H$35)=MIN($H$4:$H$35),50,100*(LN(1+H32)-LN(1+MIN($H$4:$H$35)))/(LN(1+MAX($H$4:$H$35))-LN(1+MIN($H$4:$H$35))))</x:f>
        <x:v>0</x:v>
      </x:c>
      <x:c r="W32" s="9" t="n">
        <x:f>IF(MAX($I$4:$I$35)=MIN($I$4:$I$35),50,100*(LN(1+I32)-LN(1+MIN($I$4:$I$35)))/(LN(1+MAX($I$4:$I$35))-LN(1+MIN($I$4:$I$35))))</x:f>
        <x:v>25</x:v>
      </x:c>
      <x:c r="X32" s="9" t="n">
        <x:f>IF(MAX($J$4:$J$35)=MIN($J$4:$J$35),50,100*(LN(1+J32)-LN(1+MIN($J$4:$J$35)))/(LN(1+MAX($J$4:$J$35))-LN(1+MIN($J$4:$J$35))))</x:f>
        <x:v>41.096367660513586</x:v>
      </x:c>
      <x:c r="Y32" s="9" t="n">
        <x:f>IF(MAX($K$4:$K$35)=MIN($K$4:$K$35),50,100*(K32-MIN($K$4:$K$35))/(MAX($K$4:$K$35)-MIN($K$4:$K$35)))</x:f>
        <x:v>38.97058823529412</x:v>
      </x:c>
      <x:c r="Z32" s="9" t="n">
        <x:f>IF(MAX($L$4:$L$35)=MIN($L$4:$L$35),50,100*(L32-MIN($L$4:$L$35))/(MAX($L$4:$L$35)-MIN($L$4:$L$35)))</x:f>
        <x:v>71.95902688860436</x:v>
      </x:c>
      <x:c r="AA32" s="9" t="n">
        <x:f>IF(MAX($M$4:$M$35)=MIN($M$4:$M$35),50,100*(LN(1+M32)-LN(1+MIN($M$4:$M$35)))/(LN(1+MAX($M$4:$M$35))-LN(1+MIN($M$4:$M$35))))</x:f>
        <x:v>12.254688222020372</x:v>
      </x:c>
      <x:c r="AB32" s="9" t="n">
        <x:f>IF(MAX($N$4:$N$35)=MIN($N$4:$N$35),50,100-100*(LN(1+N32)-LN(1+MIN($N$4:$N$35)))/(LN(1+MAX($N$4:$N$35))-LN(1+MIN($N$4:$N$35))))</x:f>
        <x:v>25.940788144156784</x:v>
      </x:c>
      <x:c r="AC32" s="9" t="n">
        <x:f>IF(MAX($O$4:$O$35)=MIN($O$4:$O$35),50,100*(LN(1+O32)-LN(1+MIN($O$4:$O$35)))/(LN(1+MAX($O$4:$O$35))-LN(1+MIN($O$4:$O$35))))</x:f>
        <x:v>72.88023483926686</x:v>
      </x:c>
      <x:c r="AD32" s="9" t="n">
        <x:f>IF(P32="",50,IF(MAX($P$4:$P$35)=MIN($P$4:$P$35),50,100-100*(LN(1+P32)-LN(1+MIN($P$4:$P$35)))/(LN(1+MAX($P$4:$P$35))-LN(1+MIN($P$4:$P$35)))))</x:f>
        <x:v>95.31242880071278</x:v>
      </x:c>
      <x:c r="AE32" s="9" t="n">
        <x:f>(R32*'Веса'!$B$7+S32*'Веса'!$B$8+T32*'Веса'!$B$9)/'Веса'!$B$26</x:f>
        <x:v>43.28077275118329</x:v>
      </x:c>
      <x:c r="AF32" s="9" t="n">
        <x:f>(U32*'Веса'!$B$10+V32*'Веса'!$B$11+W32*'Веса'!$B$12+X32*'Веса'!$B$13)/'Веса'!$B$27</x:f>
        <x:v>9.93156411926163</x:v>
      </x:c>
      <x:c r="AG32" s="9" t="n">
        <x:f>(Y32*'Веса'!$B$14+Z32*'Веса'!$B$15+AA32*'Веса'!$B$16)/'Веса'!$B$28</x:f>
        <x:v>40.85234982730507</x:v>
      </x:c>
      <x:c r="AH32" s="9" t="n">
        <x:f>(AB32*'Веса'!$B$17+AC32*'Веса'!$B$18)/'Веса'!$B$29</x:f>
        <x:v>35.328677483178794</x:v>
      </x:c>
      <x:c r="AI32" s="9" t="n">
        <x:f>AD32</x:f>
        <x:v>95.31242880071278</x:v>
      </x:c>
      <x:c r="AJ32" s="9" t="n">
        <x:f>(AE32*'Веса'!$B$26+AF32*'Веса'!$B$27+AG32*'Веса'!$B$28+AH32*'Веса'!$B$29+AI32*'Веса'!$B$30)/'Веса'!$B$22</x:f>
        <x:v>36.26415928410326</x:v>
      </x:c>
      <x:c r="AK32" s="9" t="n">
        <x:f>COUNTIF($AJ$4:$AJ$35,"&gt;"&amp;AJ32)+1</x:f>
        <x:v>29</x:v>
      </x:c>
      <x:c r="AL32" s="9" t="n">
        <x:f>MIN(100,50*AM32+25*IF(P32&lt;&gt;"",1,0)+25*IF(AN32="resort_or_complex_page",1,0))</x:f>
        <x:v>75</x:v>
      </x:c>
      <x:c r="AM32" s="35" t="n">
        <x:v>1</x:v>
      </x:c>
      <x:c r="AN32" s="2" t="str">
        <x:v>nearby_feature_proxy</x:v>
      </x:c>
      <x:c r="AO32" s="2" t="str">
        <x:v>coordinates are proxy</x:v>
      </x:c>
    </x:row>
    <x:row r="33">
      <x:c r="A33" s="2" t="str">
        <x:v>R009</x:v>
      </x:c>
      <x:c r="B33" s="2" t="str">
        <x:v>Мамисон</x:v>
      </x:c>
      <x:c r="C33" s="2" t="str">
        <x:v>Республика Северная Осетия — Алания</x:v>
      </x:c>
      <x:c r="D33" s="34" t="n">
        <x:v>197708</x:v>
      </x:c>
      <x:c r="E33" s="35" t="n">
        <x:v>-0.3632305482372796</x:v>
      </x:c>
      <x:c r="F33" s="9" t="n">
        <x:v>3.7688459748720335</x:v>
      </x:c>
      <x:c r="G33" s="9" t="n">
        <x:v>12</x:v>
      </x:c>
      <x:c r="H33" s="9" t="n">
        <x:v>2</x:v>
      </x:c>
      <x:c r="I33" s="9" t="n">
        <x:v>0</x:v>
      </x:c>
      <x:c r="J33" s="9" t="n">
        <x:v>10</x:v>
      </x:c>
      <x:c r="K33" s="9" t="n">
        <x:v>99.2</x:v>
      </x:c>
      <x:c r="L33" s="9" t="n">
        <x:v>118</x:v>
      </x:c>
      <x:c r="M33" s="9" t="n">
        <x:v>315.43399999999986</x:v>
      </x:c>
      <x:c r="N33" s="9" t="n">
        <x:v>86</x:v>
      </x:c>
      <x:c r="O33" s="9" t="n">
        <x:v>0</x:v>
      </x:c>
      <x:c r="P33" s="34" t="n">
        <x:v>2313.75</x:v>
      </x:c>
      <x:c r="Q33" s="10" t="n">
        <x:v>4</x:v>
      </x:c>
      <x:c r="R33" s="9" t="n">
        <x:f>IF(D33="",50,IF(MAX($D$4:$D$35)=MIN($D$4:$D$35),50,100*(LN(1+D33)-LN(1+MIN($D$4:$D$35)))/(LN(1+MAX($D$4:$D$35))-LN(1+MIN($D$4:$D$35)))))</x:f>
        <x:v>0</x:v>
      </x:c>
      <x:c r="S33" s="9" t="n">
        <x:f>IF(E33="",50,MAX(0,MIN(100,50+200*E33)))</x:f>
        <x:v>0</x:v>
      </x:c>
      <x:c r="T33" s="9" t="n">
        <x:f>IF(F33="",50,MAX(0,MIN(100,(F33-1)/6*100)))</x:f>
        <x:v>46.147432914533894</x:v>
      </x:c>
      <x:c r="U33" s="9" t="n">
        <x:f>IF(MAX($G$4:$G$35)=MIN($G$4:$G$35),50,100*(LN(1+G33)-LN(1+MIN($G$4:$G$35)))/(LN(1+MAX($G$4:$G$35))-LN(1+MIN($G$4:$G$35))))</x:f>
        <x:v>44.11578555764544</x:v>
      </x:c>
      <x:c r="V33" s="9" t="n">
        <x:f>IF(MAX($H$4:$H$35)=MIN($H$4:$H$35),50,100*(LN(1+H33)-LN(1+MIN($H$4:$H$35)))/(LN(1+MAX($H$4:$H$35))-LN(1+MIN($H$4:$H$35))))</x:f>
        <x:v>26.317929258527464</x:v>
      </x:c>
      <x:c r="W33" s="9" t="n">
        <x:f>IF(MAX($I$4:$I$35)=MIN($I$4:$I$35),50,100*(LN(1+I33)-LN(1+MIN($I$4:$I$35)))/(LN(1+MAX($I$4:$I$35))-LN(1+MIN($I$4:$I$35))))</x:f>
        <x:v>0</x:v>
      </x:c>
      <x:c r="X33" s="9" t="n">
        <x:f>IF(MAX($J$4:$J$35)=MIN($J$4:$J$35),50,100*(LN(1+J33)-LN(1+MIN($J$4:$J$35)))/(LN(1+MAX($J$4:$J$35))-LN(1+MIN($J$4:$J$35))))</x:f>
        <x:v>41.096367660513586</x:v>
      </x:c>
      <x:c r="Y33" s="9" t="n">
        <x:f>IF(MAX($K$4:$K$35)=MIN($K$4:$K$35),50,100*(K33-MIN($K$4:$K$35))/(MAX($K$4:$K$35)-MIN($K$4:$K$35)))</x:f>
        <x:v>81.24999999999999</x:v>
      </x:c>
      <x:c r="Z33" s="9" t="n">
        <x:f>IF(MAX($L$4:$L$35)=MIN($L$4:$L$35),50,100*(L33-MIN($L$4:$L$35))/(MAX($L$4:$L$35)-MIN($L$4:$L$35)))</x:f>
        <x:v>64.7887323943662</x:v>
      </x:c>
      <x:c r="AA33" s="9" t="n">
        <x:f>IF(MAX($M$4:$M$35)=MIN($M$4:$M$35),50,100*(LN(1+M33)-LN(1+MIN($M$4:$M$35)))/(LN(1+MAX($M$4:$M$35))-LN(1+MIN($M$4:$M$35))))</x:f>
        <x:v>71.24257357155847</x:v>
      </x:c>
      <x:c r="AB33" s="9" t="n">
        <x:f>IF(MAX($N$4:$N$35)=MIN($N$4:$N$35),50,100-100*(LN(1+N33)-LN(1+MIN($N$4:$N$35)))/(LN(1+MAX($N$4:$N$35))-LN(1+MIN($N$4:$N$35))))</x:f>
        <x:v>21.786162650410418</x:v>
      </x:c>
      <x:c r="AC33" s="9" t="n">
        <x:f>IF(MAX($O$4:$O$35)=MIN($O$4:$O$35),50,100*(LN(1+O33)-LN(1+MIN($O$4:$O$35)))/(LN(1+MAX($O$4:$O$35))-LN(1+MIN($O$4:$O$35))))</x:f>
        <x:v>0</x:v>
      </x:c>
      <x:c r="AD33" s="9" t="n">
        <x:f>IF(P33="",50,IF(MAX($P$4:$P$35)=MIN($P$4:$P$35),50,100-100*(LN(1+P33)-LN(1+MIN($P$4:$P$35)))/(LN(1+MAX($P$4:$P$35))-LN(1+MIN($P$4:$P$35)))))</x:f>
        <x:v>100</x:v>
      </x:c>
      <x:c r="AE33" s="9" t="n">
        <x:f>(R33*'Веса'!$B$7+S33*'Веса'!$B$8+T33*'Веса'!$B$9)/'Веса'!$B$26</x:f>
        <x:v>5.768429114316737</x:v>
      </x:c>
      <x:c r="AF33" s="9" t="n">
        <x:f>(U33*'Веса'!$B$10+V33*'Веса'!$B$11+W33*'Веса'!$B$12+X33*'Веса'!$B$13)/'Веса'!$B$27</x:f>
        <x:v>29.946898534707493</x:v>
      </x:c>
      <x:c r="AG33" s="9" t="n">
        <x:f>(Y33*'Веса'!$B$14+Z33*'Веса'!$B$15+AA33*'Веса'!$B$16)/'Веса'!$B$28</x:f>
        <x:v>73.3093917897774</x:v>
      </x:c>
      <x:c r="AH33" s="9" t="n">
        <x:f>(AB33*'Веса'!$B$17+AC33*'Веса'!$B$18)/'Веса'!$B$29</x:f>
        <x:v>17.428930120328335</x:v>
      </x:c>
      <x:c r="AI33" s="9" t="n">
        <x:f>AD33</x:f>
        <x:v>100</x:v>
      </x:c>
      <x:c r="AJ33" s="9" t="n">
        <x:f>(AE33*'Веса'!$B$26+AF33*'Веса'!$B$27+AG33*'Веса'!$B$28+AH33*'Веса'!$B$29+AI33*'Веса'!$B$30)/'Веса'!$B$22</x:f>
        <x:v>31.198867649391882</x:v>
      </x:c>
      <x:c r="AK33" s="9" t="n">
        <x:f>COUNTIF($AJ$4:$AJ$35,"&gt;"&amp;AJ33)+1</x:f>
        <x:v>30</x:v>
      </x:c>
      <x:c r="AL33" s="9" t="n">
        <x:f>MIN(100,50*AM33+25*IF(P33&lt;&gt;"",1,0)+25*IF(AN33="resort_or_complex_page",1,0))</x:f>
        <x:v>75</x:v>
      </x:c>
      <x:c r="AM33" s="35" t="n">
        <x:v>1</x:v>
      </x:c>
      <x:c r="AN33" s="2" t="str">
        <x:v>nearby_feature_proxy</x:v>
      </x:c>
      <x:c r="AO33" s="2" t="str">
        <x:v>coordinates are proxy; OSM radii overlap</x:v>
      </x:c>
    </x:row>
    <x:row r="34">
      <x:c r="A34" s="2" t="str">
        <x:v>R010</x:v>
      </x:c>
      <x:c r="B34" s="2" t="str">
        <x:v>Цей</x:v>
      </x:c>
      <x:c r="C34" s="2" t="str">
        <x:v>Республика Северная Осетия — Алания</x:v>
      </x:c>
      <x:c r="D34" s="34" t="n">
        <x:v>197708</x:v>
      </x:c>
      <x:c r="E34" s="35" t="n">
        <x:v>-0.3632305482372796</x:v>
      </x:c>
      <x:c r="F34" s="9" t="n">
        <x:v>3.7688459748720335</x:v>
      </x:c>
      <x:c r="G34" s="9" t="n">
        <x:v>8</x:v>
      </x:c>
      <x:c r="H34" s="9" t="n">
        <x:v>1</x:v>
      </x:c>
      <x:c r="I34" s="9" t="n">
        <x:v>6</x:v>
      </x:c>
      <x:c r="J34" s="9" t="n">
        <x:v>13</x:v>
      </x:c>
      <x:c r="K34" s="9" t="n">
        <x:v>93.2</x:v>
      </x:c>
      <x:c r="L34" s="9" t="n">
        <x:v>168.6</x:v>
      </x:c>
      <x:c r="M34" s="9" t="n">
        <x:v>264.4039999999999</x:v>
      </x:c>
      <x:c r="N34" s="9" t="n">
        <x:v>76.4</x:v>
      </x:c>
      <x:c r="O34" s="9" t="n">
        <x:v>4</x:v>
      </x:c>
      <x:c r="P34" s="34"/>
      <x:c r="Q34" s="10" t="n">
        <x:v>0</x:v>
      </x:c>
      <x:c r="R34" s="9" t="n">
        <x:f>IF(D34="",50,IF(MAX($D$4:$D$35)=MIN($D$4:$D$35),50,100*(LN(1+D34)-LN(1+MIN($D$4:$D$35)))/(LN(1+MAX($D$4:$D$35))-LN(1+MIN($D$4:$D$35)))))</x:f>
        <x:v>0</x:v>
      </x:c>
      <x:c r="S34" s="9" t="n">
        <x:f>IF(E34="",50,MAX(0,MIN(100,50+200*E34)))</x:f>
        <x:v>0</x:v>
      </x:c>
      <x:c r="T34" s="9" t="n">
        <x:f>IF(F34="",50,MAX(0,MIN(100,(F34-1)/6*100)))</x:f>
        <x:v>46.147432914533894</x:v>
      </x:c>
      <x:c r="U34" s="9" t="n">
        <x:f>IF(MAX($G$4:$G$35)=MIN($G$4:$G$35),50,100*(LN(1+G34)-LN(1+MIN($G$4:$G$35)))/(LN(1+MAX($G$4:$G$35))-LN(1+MIN($G$4:$G$35))))</x:f>
        <x:v>37.7911119351238</x:v>
      </x:c>
      <x:c r="V34" s="9" t="n">
        <x:f>IF(MAX($H$4:$H$35)=MIN($H$4:$H$35),50,100*(LN(1+H34)-LN(1+MIN($H$4:$H$35)))/(LN(1+MAX($H$4:$H$35))-LN(1+MIN($H$4:$H$35))))</x:f>
        <x:v>16.604764621593784</x:v>
      </x:c>
      <x:c r="W34" s="9" t="n">
        <x:f>IF(MAX($I$4:$I$35)=MIN($I$4:$I$35),50,100*(LN(1+I34)-LN(1+MIN($I$4:$I$35)))/(LN(1+MAX($I$4:$I$35))-LN(1+MIN($I$4:$I$35))))</x:f>
        <x:v>35.09193652572005</x:v>
      </x:c>
      <x:c r="X34" s="9" t="n">
        <x:f>IF(MAX($J$4:$J$35)=MIN($J$4:$J$35),50,100*(LN(1+J34)-LN(1+MIN($J$4:$J$35)))/(LN(1+MAX($J$4:$J$35))-LN(1+MIN($J$4:$J$35))))</x:f>
        <x:v>45.22952754666089</x:v>
      </x:c>
      <x:c r="Y34" s="9" t="n">
        <x:f>IF(MAX($K$4:$K$35)=MIN($K$4:$K$35),50,100*(K34-MIN($K$4:$K$35))/(MAX($K$4:$K$35)-MIN($K$4:$K$35)))</x:f>
        <x:v>70.22058823529412</x:v>
      </x:c>
      <x:c r="Z34" s="9" t="n">
        <x:f>IF(MAX($L$4:$L$35)=MIN($L$4:$L$35),50,100*(L34-MIN($L$4:$L$35))/(MAX($L$4:$L$35)-MIN($L$4:$L$35)))</x:f>
        <x:v>97.1830985915493</x:v>
      </x:c>
      <x:c r="AA34" s="9" t="n">
        <x:f>IF(MAX($M$4:$M$35)=MIN($M$4:$M$35),50,100*(LN(1+M34)-LN(1+MIN($M$4:$M$35)))/(LN(1+MAX($M$4:$M$35))-LN(1+MIN($M$4:$M$35))))</x:f>
        <x:v>62.5270029885266</x:v>
      </x:c>
      <x:c r="AB34" s="9" t="n">
        <x:f>IF(MAX($N$4:$N$35)=MIN($N$4:$N$35),50,100-100*(LN(1+N34)-LN(1+MIN($N$4:$N$35)))/(LN(1+MAX($N$4:$N$35))-LN(1+MIN($N$4:$N$35))))</x:f>
        <x:v>24.391243320164563</x:v>
      </x:c>
      <x:c r="AC34" s="9" t="n">
        <x:f>IF(MAX($O$4:$O$35)=MIN($O$4:$O$35),50,100*(LN(1+O34)-LN(1+MIN($O$4:$O$35)))/(LN(1+MAX($O$4:$O$35))-LN(1+MIN($O$4:$O$35))))</x:f>
        <x:v>26.402300393499793</x:v>
      </x:c>
      <x:c r="AD34" s="9" t="n">
        <x:f>IF(P34="",50,IF(MAX($P$4:$P$35)=MIN($P$4:$P$35),50,100-100*(LN(1+P34)-LN(1+MIN($P$4:$P$35)))/(LN(1+MAX($P$4:$P$35))-LN(1+MIN($P$4:$P$35)))))</x:f>
        <x:v>50</x:v>
      </x:c>
      <x:c r="AE34" s="9" t="n">
        <x:f>(R34*'Веса'!$B$7+S34*'Веса'!$B$8+T34*'Веса'!$B$9)/'Веса'!$B$26</x:f>
        <x:v>5.768429114316737</x:v>
      </x:c>
      <x:c r="AF34" s="9" t="n">
        <x:f>(U34*'Веса'!$B$10+V34*'Веса'!$B$11+W34*'Веса'!$B$12+X34*'Веса'!$B$13)/'Веса'!$B$27</x:f>
        <x:v>32.2117094788391</x:v>
      </x:c>
      <x:c r="AG34" s="9" t="n">
        <x:f>(Y34*'Веса'!$B$14+Z34*'Веса'!$B$15+AA34*'Веса'!$B$16)/'Веса'!$B$28</x:f>
        <x:v>76.00126576814043</x:v>
      </x:c>
      <x:c r="AH34" s="9" t="n">
        <x:f>(AB34*'Веса'!$B$17+AC34*'Веса'!$B$18)/'Веса'!$B$29</x:f>
        <x:v>24.793454734831606</x:v>
      </x:c>
      <x:c r="AI34" s="9" t="n">
        <x:f>AD34</x:f>
        <x:v>50</x:v>
      </x:c>
      <x:c r="AJ34" s="9" t="n">
        <x:f>(AE34*'Веса'!$B$26+AF34*'Веса'!$B$27+AG34*'Веса'!$B$28+AH34*'Веса'!$B$29+AI34*'Веса'!$B$30)/'Веса'!$B$22</x:f>
        <x:v>30.53989764254772</x:v>
      </x:c>
      <x:c r="AK34" s="9" t="n">
        <x:f>COUNTIF($AJ$4:$AJ$35,"&gt;"&amp;AJ34)+1</x:f>
        <x:v>31</x:v>
      </x:c>
      <x:c r="AL34" s="9" t="n">
        <x:f>MIN(100,50*AM34+25*IF(P34&lt;&gt;"",1,0)+25*IF(AN34="resort_or_complex_page",1,0))</x:f>
        <x:v>50</x:v>
      </x:c>
      <x:c r="AM34" s="35" t="n">
        <x:v>1</x:v>
      </x:c>
      <x:c r="AN34" s="2" t="str">
        <x:v>nearby_feature_proxy</x:v>
      </x:c>
      <x:c r="AO34" s="2" t="str">
        <x:v>coordinates are proxy; OSM radii overlap</x:v>
      </x:c>
    </x:row>
    <x:row r="35">
      <x:c r="A35" s="18" t="str">
        <x:v>R017</x:v>
      </x:c>
      <x:c r="B35" s="18" t="str">
        <x:v>Холдоми</x:v>
      </x:c>
      <x:c r="C35" s="18" t="str">
        <x:v>Хабаровский край</x:v>
      </x:c>
      <x:c r="D35" s="36" t="n">
        <x:v>1121434</x:v>
      </x:c>
      <x:c r="E35" s="37" t="n">
        <x:v>-0.17237282093935125</x:v>
      </x:c>
      <x:c r="F35" s="24" t="n">
        <x:v>2.289568534572699</x:v>
      </x:c>
      <x:c r="G35" s="24" t="n">
        <x:v>0</x:v>
      </x:c>
      <x:c r="H35" s="24" t="n">
        <x:v>0</x:v>
      </x:c>
      <x:c r="I35" s="24" t="n">
        <x:v>0</x:v>
      </x:c>
      <x:c r="J35" s="24" t="n">
        <x:v>0</x:v>
      </x:c>
      <x:c r="K35" s="24" t="n">
        <x:v>62.6</x:v>
      </x:c>
      <x:c r="L35" s="24" t="n">
        <x:v>173</x:v>
      </x:c>
      <x:c r="M35" s="24" t="n">
        <x:v>151.17199999999997</x:v>
      </x:c>
      <x:c r="N35" s="24" t="n">
        <x:v>50.7</x:v>
      </x:c>
      <x:c r="O35" s="24" t="n">
        <x:v>3</x:v>
      </x:c>
      <x:c r="P35" s="36"/>
      <x:c r="Q35" s="23" t="n">
        <x:v>0</x:v>
      </x:c>
      <x:c r="R35" s="24" t="n">
        <x:f>IF(D35="",50,IF(MAX($D$4:$D$35)=MIN($D$4:$D$35),50,100*(LN(1+D35)-LN(1+MIN($D$4:$D$35)))/(LN(1+MAX($D$4:$D$35))-LN(1+MIN($D$4:$D$35)))))</x:f>
        <x:v>36.6817845604449</x:v>
      </x:c>
      <x:c r="S35" s="24" t="n">
        <x:f>IF(E35="",50,MAX(0,MIN(100,50+200*E35)))</x:f>
        <x:v>15.52543581212975</x:v>
      </x:c>
      <x:c r="T35" s="24" t="n">
        <x:f>IF(F35="",50,MAX(0,MIN(100,(F35-1)/6*100)))</x:f>
        <x:v>21.492808909544983</x:v>
      </x:c>
      <x:c r="U35" s="24" t="n">
        <x:f>IF(MAX($G$4:$G$35)=MIN($G$4:$G$35),50,100*(LN(1+G35)-LN(1+MIN($G$4:$G$35)))/(LN(1+MAX($G$4:$G$35))-LN(1+MIN($G$4:$G$35))))</x:f>
        <x:v>0</x:v>
      </x:c>
      <x:c r="V35" s="24" t="n">
        <x:f>IF(MAX($H$4:$H$35)=MIN($H$4:$H$35),50,100*(LN(1+H35)-LN(1+MIN($H$4:$H$35)))/(LN(1+MAX($H$4:$H$35))-LN(1+MIN($H$4:$H$35))))</x:f>
        <x:v>0</x:v>
      </x:c>
      <x:c r="W35" s="24" t="n">
        <x:f>IF(MAX($I$4:$I$35)=MIN($I$4:$I$35),50,100*(LN(1+I35)-LN(1+MIN($I$4:$I$35)))/(LN(1+MAX($I$4:$I$35))-LN(1+MIN($I$4:$I$35))))</x:f>
        <x:v>0</x:v>
      </x:c>
      <x:c r="X35" s="24" t="n">
        <x:f>IF(MAX($J$4:$J$35)=MIN($J$4:$J$35),50,100*(LN(1+J35)-LN(1+MIN($J$4:$J$35)))/(LN(1+MAX($J$4:$J$35))-LN(1+MIN($J$4:$J$35))))</x:f>
        <x:v>0</x:v>
      </x:c>
      <x:c r="Y35" s="24" t="n">
        <x:f>IF(MAX($K$4:$K$35)=MIN($K$4:$K$35),50,100*(K35-MIN($K$4:$K$35))/(MAX($K$4:$K$35)-MIN($K$4:$K$35)))</x:f>
        <x:v>13.970588235294118</x:v>
      </x:c>
      <x:c r="Z35" s="24" t="n">
        <x:f>IF(MAX($L$4:$L$35)=MIN($L$4:$L$35),50,100*(L35-MIN($L$4:$L$35))/(MAX($L$4:$L$35)-MIN($L$4:$L$35)))</x:f>
        <x:v>100</x:v>
      </x:c>
      <x:c r="AA35" s="24" t="n">
        <x:f>IF(MAX($M$4:$M$35)=MIN($M$4:$M$35),50,100*(LN(1+M35)-LN(1+MIN($M$4:$M$35)))/(LN(1+MAX($M$4:$M$35))-LN(1+MIN($M$4:$M$35))))</x:f>
        <x:v>34.9600585021899</x:v>
      </x:c>
      <x:c r="AB35" s="24" t="n">
        <x:f>IF(MAX($N$4:$N$35)=MIN($N$4:$N$35),50,100-100*(LN(1+N35)-LN(1+MIN($N$4:$N$35)))/(LN(1+MAX($N$4:$N$35))-LN(1+MIN($N$4:$N$35))))</x:f>
        <x:v>33.38212225333541</x:v>
      </x:c>
      <x:c r="AC35" s="24" t="n">
        <x:f>IF(MAX($O$4:$O$35)=MIN($O$4:$O$35),50,100*(LN(1+O35)-LN(1+MIN($O$4:$O$35)))/(LN(1+MAX($O$4:$O$35))-LN(1+MIN($O$4:$O$35))))</x:f>
        <x:v>22.741703717384564</x:v>
      </x:c>
      <x:c r="AD35" s="24" t="n">
        <x:f>IF(P35="",50,IF(MAX($P$4:$P$35)=MIN($P$4:$P$35),50,100-100*(LN(1+P35)-LN(1+MIN($P$4:$P$35)))/(LN(1+MAX($P$4:$P$35))-LN(1+MIN($P$4:$P$35)))))</x:f>
        <x:v>50</x:v>
      </x:c>
      <x:c r="AE35" s="24" t="n">
        <x:f>(R35*'Веса'!$B$7+S35*'Веса'!$B$8+T35*'Веса'!$B$9)/'Веса'!$B$26</x:f>
        <x:v>29.494075417003625</x:v>
      </x:c>
      <x:c r="AF35" s="24" t="n">
        <x:f>(U35*'Веса'!$B$10+V35*'Веса'!$B$11+W35*'Веса'!$B$12+X35*'Веса'!$B$13)/'Веса'!$B$27</x:f>
        <x:v>0</x:v>
      </x:c>
      <x:c r="AG35" s="24" t="n">
        <x:f>(Y35*'Веса'!$B$14+Z35*'Веса'!$B$15+AA35*'Веса'!$B$16)/'Веса'!$B$28</x:f>
        <x:v>46.076252844774615</x:v>
      </x:c>
      <x:c r="AH35" s="24" t="n">
        <x:f>(AB35*'Веса'!$B$17+AC35*'Веса'!$B$18)/'Веса'!$B$29</x:f>
        <x:v>31.25403854614524</x:v>
      </x:c>
      <x:c r="AI35" s="24" t="n">
        <x:f>AD35</x:f>
        <x:v>50</x:v>
      </x:c>
      <x:c r="AJ35" s="24" t="n">
        <x:f>(AE35*'Веса'!$B$26+AF35*'Веса'!$B$27+AG35*'Веса'!$B$28+AH35*'Веса'!$B$29+AI35*'Веса'!$B$30)/'Веса'!$B$22</x:f>
        <x:v>26.638284590370894</x:v>
      </x:c>
      <x:c r="AK35" s="24" t="n">
        <x:f>COUNTIF($AJ$4:$AJ$35,"&gt;"&amp;AJ35)+1</x:f>
        <x:v>32</x:v>
      </x:c>
      <x:c r="AL35" s="24" t="n">
        <x:f>MIN(100,50*AM35+25*IF(P35&lt;&gt;"",1,0)+25*IF(AN35="resort_or_complex_page",1,0))</x:f>
        <x:v>45.45454545454545</x:v>
      </x:c>
      <x:c r="AM35" s="37" t="n">
        <x:v>0.9090909090909091</x:v>
      </x:c>
      <x:c r="AN35" s="18" t="str">
        <x:v>manual_review_required</x:v>
      </x:c>
      <x:c r="AO35" s="18" t="str">
        <x:v>check coordinates</x:v>
      </x:c>
    </x:row>
  </x:sheetData>
  <x:conditionalFormatting sqref="AJ4:AJ35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{EF374C94-7329-2EA2-6123-C073592426CD}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374C94-7329-2EA2-6123-C073592426CD}">
            <x14:dataBar gradient="0">
              <x14:cfvo type="min"/>
              <x14:cfvo type="max"/>
              <x14:fillColor rgb="FF2F6B9A"/>
            </x14:dataBar>
          </x14:cfRule>
          <xm:sqref>AJ4:AJ35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</x:cols>
  <x:sheetData>
    <x:row r="1" ht="24" customHeight="1">
      <x:c r="A1" s="3" t="str">
        <x:v>Региональные данные Росстата и ЕМИСС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4" customHeight="1">
      <x:c r="A3" s="15" t="str">
        <x:v>Регион</x:v>
      </x:c>
      <x:c r="B3" s="22" t="str">
        <x:v>Поездки 2022</x:v>
      </x:c>
      <x:c r="C3" s="22" t="str">
        <x:v>Поездки 2023</x:v>
      </x:c>
      <x:c r="D3" s="22" t="str">
        <x:v>Поездки 2024</x:v>
      </x:c>
      <x:c r="E3" s="22" t="str">
        <x:v>Поездки 2025</x:v>
      </x:c>
      <x:c r="F3" s="22" t="str">
        <x:v>Рост 2025/2024</x:v>
      </x:c>
      <x:c r="G3" s="22" t="str">
        <x:v>Ночёвки 2023</x:v>
      </x:c>
      <x:c r="H3" s="22" t="str">
        <x:v>Ночёвки 2024</x:v>
      </x:c>
      <x:c r="I3" s="22" t="str">
        <x:v>Ночёвки 2025</x:v>
      </x:c>
      <x:c r="J3" s="22" t="str">
        <x:v>Ночей на поездку 2025</x:v>
      </x:c>
      <x:c r="K3" s="22" t="str">
        <x:v>Источник поездок</x:v>
      </x:c>
      <x:c r="L3" s="16" t="str">
        <x:v>Источник ночёвок</x:v>
      </x:c>
      <x:c r="M3" s="2"/>
      <x:c r="N3" s="2"/>
    </x:row>
    <x:row r="4">
      <x:c r="A4" s="2" t="str">
        <x:v>Иркутская область</x:v>
      </x:c>
      <x:c r="B4" s="34" t="n">
        <x:v>837292</x:v>
      </x:c>
      <x:c r="C4" s="34" t="n">
        <x:v>1362354</x:v>
      </x:c>
      <x:c r="D4" s="34" t="n">
        <x:v>1565224</x:v>
      </x:c>
      <x:c r="E4" s="34" t="n">
        <x:v>1456892</x:v>
      </x:c>
      <x:c r="F4" s="35" t="n">
        <x:v>-0.06921181888343142</x:v>
      </x:c>
      <x:c r="G4" s="34" t="n">
        <x:v>4274424</x:v>
      </x:c>
      <x:c r="H4" s="34" t="n">
        <x:v>4248667</x:v>
      </x:c>
      <x:c r="I4" s="34" t="n">
        <x:v>6190105</x:v>
      </x:c>
      <x:c r="J4" s="9" t="n">
        <x:v>4.248842741946555</x:v>
      </x:c>
      <x:c r="K4" s="2" t="str">
        <x:v>https://www.fedstat.ru/indicator/62157</x:v>
      </x:c>
      <x:c r="L4" s="2" t="str">
        <x:v>https://www.fedstat.ru/indicator/62489</x:v>
      </x:c>
      <x:c r="M4" s="2"/>
      <x:c r="N4" s="2"/>
    </x:row>
    <x:row r="5">
      <x:c r="A5" s="2" t="str">
        <x:v>Кабардино-Балкарская Республика</x:v>
      </x:c>
      <x:c r="B5" s="34" t="n">
        <x:v>347705</x:v>
      </x:c>
      <x:c r="C5" s="34" t="n">
        <x:v>953673</x:v>
      </x:c>
      <x:c r="D5" s="34" t="n">
        <x:v>410694</x:v>
      </x:c>
      <x:c r="E5" s="34" t="n">
        <x:v>341320</x:v>
      </x:c>
      <x:c r="F5" s="35" t="n">
        <x:v>-0.16891895182301175</x:v>
      </x:c>
      <x:c r="G5" s="34" t="n">
        <x:v>2665473</x:v>
      </x:c>
      <x:c r="H5" s="34" t="n">
        <x:v>2052064</x:v>
      </x:c>
      <x:c r="I5" s="34" t="n">
        <x:v>2673177</x:v>
      </x:c>
      <x:c r="J5" s="9" t="n">
        <x:v>7.8318791749677725</x:v>
      </x:c>
      <x:c r="K5" s="2" t="str">
        <x:v>https://www.fedstat.ru/indicator/62157</x:v>
      </x:c>
      <x:c r="L5" s="2" t="str">
        <x:v>https://www.fedstat.ru/indicator/62489</x:v>
      </x:c>
      <x:c r="M5" s="2"/>
      <x:c r="N5" s="2"/>
    </x:row>
    <x:row r="6">
      <x:c r="A6" s="2" t="str">
        <x:v>Камчатский край</x:v>
      </x:c>
      <x:c r="B6" s="34" t="n">
        <x:v>618342</x:v>
      </x:c>
      <x:c r="C6" s="34" t="n">
        <x:v>402539</x:v>
      </x:c>
      <x:c r="D6" s="34" t="n">
        <x:v>410853</x:v>
      </x:c>
      <x:c r="E6" s="34" t="n">
        <x:v>516216</x:v>
      </x:c>
      <x:c r="F6" s="35" t="n">
        <x:v>0.2564493870070317</x:v>
      </x:c>
      <x:c r="G6" s="34" t="n">
        <x:v>840459</x:v>
      </x:c>
      <x:c r="H6" s="34" t="n">
        <x:v>900323</x:v>
      </x:c>
      <x:c r="I6" s="34" t="n">
        <x:v>979734</x:v>
      </x:c>
      <x:c r="J6" s="9" t="n">
        <x:v>1.8979148263517598</x:v>
      </x:c>
      <x:c r="K6" s="2" t="str">
        <x:v>https://www.fedstat.ru/indicator/62157</x:v>
      </x:c>
      <x:c r="L6" s="2" t="str">
        <x:v>https://www.fedstat.ru/indicator/62489</x:v>
      </x:c>
      <x:c r="M6" s="2"/>
      <x:c r="N6" s="2"/>
    </x:row>
    <x:row r="7">
      <x:c r="A7" s="2" t="str">
        <x:v>Карачаево-Черкесская Республика</x:v>
      </x:c>
      <x:c r="B7" s="34" t="n">
        <x:v>743617</x:v>
      </x:c>
      <x:c r="C7" s="34" t="n">
        <x:v>404188</x:v>
      </x:c>
      <x:c r="D7" s="34" t="n">
        <x:v>699802</x:v>
      </x:c>
      <x:c r="E7" s="34" t="n">
        <x:v>1303991</x:v>
      </x:c>
      <x:c r="F7" s="35" t="n">
        <x:v>0.86337135361145</x:v>
      </x:c>
      <x:c r="G7" s="34" t="n">
        <x:v>2856842</x:v>
      </x:c>
      <x:c r="H7" s="34" t="n">
        <x:v>2155461</x:v>
      </x:c>
      <x:c r="I7" s="34" t="n">
        <x:v>2279411</x:v>
      </x:c>
      <x:c r="J7" s="9" t="n">
        <x:v>1.7480266351531568</x:v>
      </x:c>
      <x:c r="K7" s="2" t="str">
        <x:v>https://www.fedstat.ru/indicator/62157</x:v>
      </x:c>
      <x:c r="L7" s="2" t="str">
        <x:v>https://www.fedstat.ru/indicator/62489</x:v>
      </x:c>
      <x:c r="M7" s="2"/>
      <x:c r="N7" s="2"/>
    </x:row>
    <x:row r="8">
      <x:c r="A8" s="2" t="str">
        <x:v>Кемеровская область</x:v>
      </x:c>
      <x:c r="B8" s="34" t="n">
        <x:v>1131655</x:v>
      </x:c>
      <x:c r="C8" s="34" t="n">
        <x:v>1174177</x:v>
      </x:c>
      <x:c r="D8" s="34" t="n">
        <x:v>1449604</x:v>
      </x:c>
      <x:c r="E8" s="34" t="n">
        <x:v>1266539</x:v>
      </x:c>
      <x:c r="F8" s="35" t="n">
        <x:v>-0.1262862133382634</x:v>
      </x:c>
      <x:c r="G8" s="34" t="n">
        <x:v>5185409</x:v>
      </x:c>
      <x:c r="H8" s="34" t="n">
        <x:v>4731671</x:v>
      </x:c>
      <x:c r="I8" s="34" t="n">
        <x:v>6089657</x:v>
      </x:c>
      <x:c r="J8" s="9" t="n">
        <x:v>4.808108554099006</x:v>
      </x:c>
      <x:c r="K8" s="2" t="str">
        <x:v>https://www.fedstat.ru/indicator/62157</x:v>
      </x:c>
      <x:c r="L8" s="2" t="str">
        <x:v>https://www.fedstat.ru/indicator/62489</x:v>
      </x:c>
      <x:c r="M8" s="2"/>
      <x:c r="N8" s="2"/>
    </x:row>
    <x:row r="9">
      <x:c r="A9" s="2" t="str">
        <x:v>Краснодарский край</x:v>
      </x:c>
      <x:c r="B9" s="34" t="n">
        <x:v>20121753</x:v>
      </x:c>
      <x:c r="C9" s="34" t="n">
        <x:v>19305168</x:v>
      </x:c>
      <x:c r="D9" s="34" t="n">
        <x:v>19163040</x:v>
      </x:c>
      <x:c r="E9" s="34" t="n">
        <x:v>18427326</x:v>
      </x:c>
      <x:c r="F9" s="35" t="n">
        <x:v>-0.038392342759812625</x:v>
      </x:c>
      <x:c r="G9" s="34" t="n">
        <x:v>106687870</x:v>
      </x:c>
      <x:c r="H9" s="34" t="n">
        <x:v>115150411</x:v>
      </x:c>
      <x:c r="I9" s="34" t="n">
        <x:v>110670767</x:v>
      </x:c>
      <x:c r="J9" s="9" t="n">
        <x:v>6.005796337461008</x:v>
      </x:c>
      <x:c r="K9" s="2" t="str">
        <x:v>https://www.fedstat.ru/indicator/62157</x:v>
      </x:c>
      <x:c r="L9" s="2" t="str">
        <x:v>https://www.fedstat.ru/indicator/62489</x:v>
      </x:c>
      <x:c r="M9" s="2"/>
      <x:c r="N9" s="2"/>
    </x:row>
    <x:row r="10">
      <x:c r="A10" s="2" t="str">
        <x:v>Красноярский край</x:v>
      </x:c>
      <x:c r="B10" s="34" t="n">
        <x:v>1492467</x:v>
      </x:c>
      <x:c r="C10" s="34" t="n">
        <x:v>2120045</x:v>
      </x:c>
      <x:c r="D10" s="34" t="n">
        <x:v>1932830</x:v>
      </x:c>
      <x:c r="E10" s="34" t="n">
        <x:v>1887725</x:v>
      </x:c>
      <x:c r="F10" s="35" t="n">
        <x:v>-0.02333624788522526</x:v>
      </x:c>
      <x:c r="G10" s="34" t="n">
        <x:v>5573010</x:v>
      </x:c>
      <x:c r="H10" s="34" t="n">
        <x:v>6072876</x:v>
      </x:c>
      <x:c r="I10" s="34" t="n">
        <x:v>6915742</x:v>
      </x:c>
      <x:c r="J10" s="9" t="n">
        <x:v>3.663532559032698</x:v>
      </x:c>
      <x:c r="K10" s="2" t="str">
        <x:v>https://www.fedstat.ru/indicator/62157</x:v>
      </x:c>
      <x:c r="L10" s="2" t="str">
        <x:v>https://www.fedstat.ru/indicator/62489</x:v>
      </x:c>
      <x:c r="M10" s="2"/>
      <x:c r="N10" s="2"/>
    </x:row>
    <x:row r="11">
      <x:c r="A11" s="2" t="str">
        <x:v>Ленинградская область</x:v>
      </x:c>
      <x:c r="B11" s="34" t="n">
        <x:v>15205197</x:v>
      </x:c>
      <x:c r="C11" s="34" t="n">
        <x:v>10505620</x:v>
      </x:c>
      <x:c r="D11" s="34" t="n">
        <x:v>8966335</x:v>
      </x:c>
      <x:c r="E11" s="34" t="n">
        <x:v>8884916</x:v>
      </x:c>
      <x:c r="F11" s="35" t="n">
        <x:v>-0.00908052175164098</x:v>
      </x:c>
      <x:c r="G11" s="34" t="n">
        <x:v>32350165</x:v>
      </x:c>
      <x:c r="H11" s="34" t="n">
        <x:v>32357511</x:v>
      </x:c>
      <x:c r="I11" s="34" t="n">
        <x:v>34413126</x:v>
      </x:c>
      <x:c r="J11" s="9" t="n">
        <x:v>3.873207805228547</x:v>
      </x:c>
      <x:c r="K11" s="2" t="str">
        <x:v>https://www.fedstat.ru/indicator/62157</x:v>
      </x:c>
      <x:c r="L11" s="2" t="str">
        <x:v>https://www.fedstat.ru/indicator/62489</x:v>
      </x:c>
      <x:c r="M11" s="2"/>
      <x:c r="N11" s="2"/>
    </x:row>
    <x:row r="12">
      <x:c r="A12" s="2" t="str">
        <x:v>Московская область</x:v>
      </x:c>
      <x:c r="B12" s="34" t="n">
        <x:v>15211970</x:v>
      </x:c>
      <x:c r="C12" s="34" t="n">
        <x:v>16456683</x:v>
      </x:c>
      <x:c r="D12" s="34" t="n">
        <x:v>18009855</x:v>
      </x:c>
      <x:c r="E12" s="34" t="n">
        <x:v>22431311</x:v>
      </x:c>
      <x:c r="F12" s="35" t="n">
        <x:v>0.2455020320818797</x:v>
      </x:c>
      <x:c r="G12" s="34" t="n">
        <x:v>73669658</x:v>
      </x:c>
      <x:c r="H12" s="34" t="n">
        <x:v>100751338</x:v>
      </x:c>
      <x:c r="I12" s="34" t="n">
        <x:v>96458300</x:v>
      </x:c>
      <x:c r="J12" s="9" t="n">
        <x:v>4.300163285150832</x:v>
      </x:c>
      <x:c r="K12" s="2" t="str">
        <x:v>https://www.fedstat.ru/indicator/62157</x:v>
      </x:c>
      <x:c r="L12" s="2" t="str">
        <x:v>https://www.fedstat.ru/indicator/62489</x:v>
      </x:c>
      <x:c r="M12" s="2"/>
      <x:c r="N12" s="2"/>
    </x:row>
    <x:row r="13">
      <x:c r="A13" s="2" t="str">
        <x:v>Мурманская область</x:v>
      </x:c>
      <x:c r="B13" s="34" t="n">
        <x:v>572946</x:v>
      </x:c>
      <x:c r="C13" s="34" t="n">
        <x:v>629959</x:v>
      </x:c>
      <x:c r="D13" s="34" t="n">
        <x:v>762383</x:v>
      </x:c>
      <x:c r="E13" s="34" t="n">
        <x:v>662210</x:v>
      </x:c>
      <x:c r="F13" s="35" t="n">
        <x:v>-0.1313945877596956</x:v>
      </x:c>
      <x:c r="G13" s="34" t="n">
        <x:v>2015071</x:v>
      </x:c>
      <x:c r="H13" s="34" t="n">
        <x:v>1914519</x:v>
      </x:c>
      <x:c r="I13" s="34" t="n">
        <x:v>1914291</x:v>
      </x:c>
      <x:c r="J13" s="9" t="n">
        <x:v>2.8907612388819257</x:v>
      </x:c>
      <x:c r="K13" s="2" t="str">
        <x:v>https://www.fedstat.ru/indicator/62157</x:v>
      </x:c>
      <x:c r="L13" s="2" t="str">
        <x:v>https://www.fedstat.ru/indicator/62489</x:v>
      </x:c>
      <x:c r="M13" s="2"/>
      <x:c r="N13" s="2"/>
    </x:row>
    <x:row r="14">
      <x:c r="A14" s="2" t="str">
        <x:v>Пермский край</x:v>
      </x:c>
      <x:c r="B14" s="34" t="n">
        <x:v>1256472</x:v>
      </x:c>
      <x:c r="C14" s="34" t="n">
        <x:v>1202080</x:v>
      </x:c>
      <x:c r="D14" s="34" t="n">
        <x:v>1481037</x:v>
      </x:c>
      <x:c r="E14" s="34" t="n">
        <x:v>1450658</x:v>
      </x:c>
      <x:c r="F14" s="35" t="n">
        <x:v>-0.020511979106531464</x:v>
      </x:c>
      <x:c r="G14" s="34" t="n">
        <x:v>5063054</x:v>
      </x:c>
      <x:c r="H14" s="34" t="n">
        <x:v>5247853</x:v>
      </x:c>
      <x:c r="I14" s="34" t="n">
        <x:v>5111091</x:v>
      </x:c>
      <x:c r="J14" s="9" t="n">
        <x:v>3.5232914994437006</x:v>
      </x:c>
      <x:c r="K14" s="2" t="str">
        <x:v>https://www.fedstat.ru/indicator/62157</x:v>
      </x:c>
      <x:c r="L14" s="2" t="str">
        <x:v>https://www.fedstat.ru/indicator/62489</x:v>
      </x:c>
      <x:c r="M14" s="2"/>
      <x:c r="N14" s="2"/>
    </x:row>
    <x:row r="15">
      <x:c r="A15" s="2" t="str">
        <x:v>Республика Алтай</x:v>
      </x:c>
      <x:c r="B15" s="34" t="n">
        <x:v>498448</x:v>
      </x:c>
      <x:c r="C15" s="34" t="n">
        <x:v>1008580</x:v>
      </x:c>
      <x:c r="D15" s="34" t="n">
        <x:v>1040026</x:v>
      </x:c>
      <x:c r="E15" s="34" t="n">
        <x:v>856845</x:v>
      </x:c>
      <x:c r="F15" s="35" t="n">
        <x:v>-0.17613117364373587</x:v>
      </x:c>
      <x:c r="G15" s="34" t="n">
        <x:v>1956227</x:v>
      </x:c>
      <x:c r="H15" s="34" t="n">
        <x:v>2520247</x:v>
      </x:c>
      <x:c r="I15" s="34" t="n">
        <x:v>2467807</x:v>
      </x:c>
      <x:c r="J15" s="9" t="n">
        <x:v>2.8801090045457465</x:v>
      </x:c>
      <x:c r="K15" s="2" t="str">
        <x:v>https://www.fedstat.ru/indicator/62157</x:v>
      </x:c>
      <x:c r="L15" s="2" t="str">
        <x:v>https://www.fedstat.ru/indicator/62489</x:v>
      </x:c>
      <x:c r="M15" s="2"/>
      <x:c r="N15" s="2"/>
    </x:row>
    <x:row r="16">
      <x:c r="A16" s="2" t="str">
        <x:v>Республика Башкортостан</x:v>
      </x:c>
      <x:c r="B16" s="34" t="n">
        <x:v>1914771</x:v>
      </x:c>
      <x:c r="C16" s="34" t="n">
        <x:v>2187886</x:v>
      </x:c>
      <x:c r="D16" s="34" t="n">
        <x:v>1946685</x:v>
      </x:c>
      <x:c r="E16" s="34" t="n">
        <x:v>1908935</x:v>
      </x:c>
      <x:c r="F16" s="35" t="n">
        <x:v>-0.019391940658093132</x:v>
      </x:c>
      <x:c r="G16" s="34" t="n">
        <x:v>8391811</x:v>
      </x:c>
      <x:c r="H16" s="34" t="n">
        <x:v>9034088</x:v>
      </x:c>
      <x:c r="I16" s="34" t="n">
        <x:v>10134276</x:v>
      </x:c>
      <x:c r="J16" s="9" t="n">
        <x:v>5.308863842928125</x:v>
      </x:c>
      <x:c r="K16" s="2" t="str">
        <x:v>https://www.fedstat.ru/indicator/62157</x:v>
      </x:c>
      <x:c r="L16" s="2" t="str">
        <x:v>https://www.fedstat.ru/indicator/62489</x:v>
      </x:c>
      <x:c r="M16" s="2"/>
      <x:c r="N16" s="2"/>
    </x:row>
    <x:row r="17">
      <x:c r="A17" s="2" t="str">
        <x:v>Республика Северная Осетия — Алания</x:v>
      </x:c>
      <x:c r="B17" s="34" t="n">
        <x:v>245180</x:v>
      </x:c>
      <x:c r="C17" s="34" t="n">
        <x:v>252682</x:v>
      </x:c>
      <x:c r="D17" s="34" t="n">
        <x:v>310486</x:v>
      </x:c>
      <x:c r="E17" s="34" t="n">
        <x:v>197708</x:v>
      </x:c>
      <x:c r="F17" s="35" t="n">
        <x:v>-0.3632305482372796</x:v>
      </x:c>
      <x:c r="G17" s="34" t="n">
        <x:v>772278</x:v>
      </x:c>
      <x:c r="H17" s="34" t="n">
        <x:v>578071</x:v>
      </x:c>
      <x:c r="I17" s="34" t="n">
        <x:v>745131</x:v>
      </x:c>
      <x:c r="J17" s="9" t="n">
        <x:v>3.7688459748720335</x:v>
      </x:c>
      <x:c r="K17" s="2" t="str">
        <x:v>https://www.fedstat.ru/indicator/62157</x:v>
      </x:c>
      <x:c r="L17" s="2" t="str">
        <x:v>https://www.fedstat.ru/indicator/62489</x:v>
      </x:c>
      <x:c r="M17" s="2"/>
      <x:c r="N17" s="2"/>
    </x:row>
    <x:row r="18">
      <x:c r="A18" s="2" t="str">
        <x:v>Республика Хакасия</x:v>
      </x:c>
      <x:c r="B18" s="34" t="n">
        <x:v>496112</x:v>
      </x:c>
      <x:c r="C18" s="34" t="n">
        <x:v>560761</x:v>
      </x:c>
      <x:c r="D18" s="34" t="n">
        <x:v>480593</x:v>
      </x:c>
      <x:c r="E18" s="34" t="n">
        <x:v>601913</x:v>
      </x:c>
      <x:c r="F18" s="35" t="n">
        <x:v>0.2524381337222972</x:v>
      </x:c>
      <x:c r="G18" s="34" t="n">
        <x:v>1421898</x:v>
      </x:c>
      <x:c r="H18" s="34" t="n">
        <x:v>1668819</x:v>
      </x:c>
      <x:c r="I18" s="34" t="n">
        <x:v>1634597</x:v>
      </x:c>
      <x:c r="J18" s="9" t="n">
        <x:v>2.715669872556333</x:v>
      </x:c>
      <x:c r="K18" s="2" t="str">
        <x:v>https://www.fedstat.ru/indicator/62157</x:v>
      </x:c>
      <x:c r="L18" s="2" t="str">
        <x:v>https://www.fedstat.ru/indicator/62489</x:v>
      </x:c>
      <x:c r="M18" s="2"/>
      <x:c r="N18" s="2"/>
    </x:row>
    <x:row r="19">
      <x:c r="A19" s="2" t="str">
        <x:v>Самарская область</x:v>
      </x:c>
      <x:c r="B19" s="34" t="n">
        <x:v>1854295</x:v>
      </x:c>
      <x:c r="C19" s="34" t="n">
        <x:v>1733643</x:v>
      </x:c>
      <x:c r="D19" s="34" t="n">
        <x:v>2289138</x:v>
      </x:c>
      <x:c r="E19" s="34" t="n">
        <x:v>1919859</x:v>
      </x:c>
      <x:c r="F19" s="35" t="n">
        <x:v>-0.16131792840798587</x:v>
      </x:c>
      <x:c r="G19" s="34" t="n">
        <x:v>8707668</x:v>
      </x:c>
      <x:c r="H19" s="34" t="n">
        <x:v>7655061</x:v>
      </x:c>
      <x:c r="I19" s="34" t="n">
        <x:v>7297773</x:v>
      </x:c>
      <x:c r="J19" s="9" t="n">
        <x:v>3.8012025883150793</x:v>
      </x:c>
      <x:c r="K19" s="2" t="str">
        <x:v>https://www.fedstat.ru/indicator/62157</x:v>
      </x:c>
      <x:c r="L19" s="2" t="str">
        <x:v>https://www.fedstat.ru/indicator/62489</x:v>
      </x:c>
      <x:c r="M19" s="2"/>
      <x:c r="N19" s="2"/>
    </x:row>
    <x:row r="20">
      <x:c r="A20" s="2" t="str">
        <x:v>Сахалинская область</x:v>
      </x:c>
      <x:c r="B20" s="34" t="n">
        <x:v>302739</x:v>
      </x:c>
      <x:c r="C20" s="34" t="n">
        <x:v>514905</x:v>
      </x:c>
      <x:c r="D20" s="34" t="n">
        <x:v>289585</x:v>
      </x:c>
      <x:c r="E20" s="34" t="n">
        <x:v>348282</x:v>
      </x:c>
      <x:c r="F20" s="35" t="n">
        <x:v>0.2026935096776421</x:v>
      </x:c>
      <x:c r="G20" s="34" t="n">
        <x:v>921582</x:v>
      </x:c>
      <x:c r="H20" s="34" t="n">
        <x:v>1028972</x:v>
      </x:c>
      <x:c r="I20" s="34" t="n">
        <x:v>1224528</x:v>
      </x:c>
      <x:c r="J20" s="9" t="n">
        <x:v>3.51590952159457</x:v>
      </x:c>
      <x:c r="K20" s="2" t="str">
        <x:v>https://www.fedstat.ru/indicator/62157</x:v>
      </x:c>
      <x:c r="L20" s="2" t="str">
        <x:v>https://www.fedstat.ru/indicator/62489</x:v>
      </x:c>
      <x:c r="M20" s="2"/>
      <x:c r="N20" s="2"/>
    </x:row>
    <x:row r="21">
      <x:c r="A21" s="2" t="str">
        <x:v>Свердловская область</x:v>
      </x:c>
      <x:c r="B21" s="34" t="n">
        <x:v>2445219</x:v>
      </x:c>
      <x:c r="C21" s="34" t="n">
        <x:v>3786432</x:v>
      </x:c>
      <x:c r="D21" s="34" t="n">
        <x:v>3246596</x:v>
      </x:c>
      <x:c r="E21" s="34" t="n">
        <x:v>3479900</x:v>
      </x:c>
      <x:c r="F21" s="35" t="n">
        <x:v>0.07186111237739468</x:v>
      </x:c>
      <x:c r="G21" s="34" t="n">
        <x:v>9459750</x:v>
      </x:c>
      <x:c r="H21" s="34" t="n">
        <x:v>10735607</x:v>
      </x:c>
      <x:c r="I21" s="34" t="n">
        <x:v>9368986</x:v>
      </x:c>
      <x:c r="J21" s="9" t="n">
        <x:v>2.6923147216874046</x:v>
      </x:c>
      <x:c r="K21" s="2" t="str">
        <x:v>https://www.fedstat.ru/indicator/62157</x:v>
      </x:c>
      <x:c r="L21" s="2" t="str">
        <x:v>https://www.fedstat.ru/indicator/62489</x:v>
      </x:c>
      <x:c r="M21" s="2"/>
      <x:c r="N21" s="2"/>
    </x:row>
    <x:row r="22">
      <x:c r="A22" s="2" t="str">
        <x:v>Хабаровский край</x:v>
      </x:c>
      <x:c r="B22" s="34" t="n">
        <x:v>578821</x:v>
      </x:c>
      <x:c r="C22" s="34" t="n">
        <x:v>1269576</x:v>
      </x:c>
      <x:c r="D22" s="34" t="n">
        <x:v>1354999</x:v>
      </x:c>
      <x:c r="E22" s="34" t="n">
        <x:v>1121434</x:v>
      </x:c>
      <x:c r="F22" s="35" t="n">
        <x:v>-0.17237282093935125</x:v>
      </x:c>
      <x:c r="G22" s="34" t="n">
        <x:v>2536981</x:v>
      </x:c>
      <x:c r="H22" s="34" t="n">
        <x:v>2589515</x:v>
      </x:c>
      <x:c r="I22" s="34" t="n">
        <x:v>2567600</x:v>
      </x:c>
      <x:c r="J22" s="9" t="n">
        <x:v>2.289568534572699</x:v>
      </x:c>
      <x:c r="K22" s="2" t="str">
        <x:v>https://www.fedstat.ru/indicator/62157</x:v>
      </x:c>
      <x:c r="L22" s="2" t="str">
        <x:v>https://www.fedstat.ru/indicator/62489</x:v>
      </x:c>
      <x:c r="M22" s="2"/>
      <x:c r="N22" s="2"/>
    </x:row>
    <x:row r="23">
      <x:c r="A23" s="18" t="str">
        <x:v>Челябинская область</x:v>
      </x:c>
      <x:c r="B23" s="36" t="n">
        <x:v>1737877</x:v>
      </x:c>
      <x:c r="C23" s="36" t="n">
        <x:v>1657570</x:v>
      </x:c>
      <x:c r="D23" s="36" t="n">
        <x:v>1765177</x:v>
      </x:c>
      <x:c r="E23" s="36" t="n">
        <x:v>1848703</x:v>
      </x:c>
      <x:c r="F23" s="37" t="n">
        <x:v>0.04731876746637864</x:v>
      </x:c>
      <x:c r="G23" s="36" t="n">
        <x:v>6581190</x:v>
      </x:c>
      <x:c r="H23" s="36" t="n">
        <x:v>6111181</x:v>
      </x:c>
      <x:c r="I23" s="36" t="n">
        <x:v>6573886</x:v>
      </x:c>
      <x:c r="J23" s="24" t="n">
        <x:v>3.5559448975849555</x:v>
      </x:c>
      <x:c r="K23" s="18" t="str">
        <x:v>https://www.fedstat.ru/indicator/62157</x:v>
      </x:c>
      <x:c r="L23" s="18" t="str">
        <x:v>https://www.fedstat.ru/indicator/62489</x:v>
      </x:c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6" t="str">
        <x:v>Поездки за 2022 год опубликованы в отдельной строке со сноской. Значения 2025 года являются оперативными и могут уточняться. Данные получены из таблиц Росстата через машиночитаемую витрину, ссылки на показатели ЕМИСС сохранены.</x:v>
      </x:c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"/>
      <x:c r="N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44" hidden="0" customWidth="1"/>
  </x:cols>
  <x:sheetData>
    <x:row r="1" ht="24" customHeight="1">
      <x:c r="A1" s="3" t="str">
        <x:v>Исходные признаки курортов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34" customHeight="1">
      <x:c r="A3" s="15" t="str">
        <x:v>resort_id</x:v>
      </x:c>
      <x:c r="B3" s="22" t="str">
        <x:v>Курорт</x:v>
      </x:c>
      <x:c r="C3" s="22" t="str">
        <x:v>Регион</x:v>
      </x:c>
      <x:c r="D3" s="22" t="str">
        <x:v>Трассы OSM</x:v>
      </x:c>
      <x:c r="E3" s="22" t="str">
        <x:v>Подъёмники OSM</x:v>
      </x:c>
      <x:c r="F3" s="22" t="str">
        <x:v>Размещение OSM</x:v>
      </x:c>
      <x:c r="G3" s="22" t="str">
        <x:v>Питание OSM</x:v>
      </x:c>
      <x:c r="H3" s="22" t="str">
        <x:v>Достопримечательности OSM</x:v>
      </x:c>
      <x:c r="I3" s="22" t="str">
        <x:v>Транспорт OSM</x:v>
      </x:c>
      <x:c r="J3" s="22" t="str">
        <x:v>Снежные дни</x:v>
      </x:c>
      <x:c r="K3" s="22" t="str">
        <x:v>Морозные дни</x:v>
      </x:c>
      <x:c r="L3" s="22" t="str">
        <x:v>Снегопад за сезон, см</x:v>
      </x:c>
      <x:c r="M3" s="22" t="str">
        <x:v>До аэропорта, км</x:v>
      </x:c>
      <x:c r="N3" s="22" t="str">
        <x:v>Цена ски-пасса, ₽</x:v>
      </x:c>
      <x:c r="O3" s="22" t="str">
        <x:v>Месяцев с ценой</x:v>
      </x:c>
      <x:c r="P3" s="22" t="str">
        <x:v>Полнота</x:v>
      </x:c>
      <x:c r="Q3" s="16" t="str">
        <x:v>Флаги качества</x:v>
      </x:c>
    </x:row>
    <x:row r="4">
      <x:c r="A4" s="2" t="str">
        <x:v>R001</x:v>
      </x:c>
      <x:c r="B4" s="2" t="str">
        <x:v>Роза Хутор</x:v>
      </x:c>
      <x:c r="C4" s="2" t="str">
        <x:v>Краснодарский край</x:v>
      </x:c>
      <x:c r="D4" s="9" t="n">
        <x:v>334</x:v>
      </x:c>
      <x:c r="E4" s="9" t="n">
        <x:v>64</x:v>
      </x:c>
      <x:c r="F4" s="9" t="n">
        <x:v>86</x:v>
      </x:c>
      <x:c r="G4" s="9" t="n">
        <x:v>107</x:v>
      </x:c>
      <x:c r="H4" s="9" t="n">
        <x:v>42</x:v>
      </x:c>
      <x:c r="I4" s="9" t="n">
        <x:v>45</x:v>
      </x:c>
      <x:c r="J4" s="9" t="n">
        <x:v>92.6</x:v>
      </x:c>
      <x:c r="K4" s="9" t="n">
        <x:v>35.2</x:v>
      </x:c>
      <x:c r="L4" s="9" t="n">
        <x:v>390.082</x:v>
      </x:c>
      <x:c r="M4" s="9" t="n">
        <x:v>37.3</x:v>
      </x:c>
      <x:c r="N4" s="34" t="n">
        <x:v>6028.75</x:v>
      </x:c>
      <x:c r="O4" s="10" t="n">
        <x:v>4</x:v>
      </x:c>
      <x:c r="P4" s="35" t="n">
        <x:v>1</x:v>
      </x:c>
      <x:c r="Q4" s="2" t="str">
        <x:v>coordinates are proxy; OSM radii overlap</x:v>
      </x:c>
    </x:row>
    <x:row r="5">
      <x:c r="A5" s="2" t="str">
        <x:v>R002</x:v>
      </x:c>
      <x:c r="B5" s="2" t="str">
        <x:v>Красная Поляна</x:v>
      </x:c>
      <x:c r="C5" s="2" t="str">
        <x:v>Краснодарский край</x:v>
      </x:c>
      <x:c r="D5" s="9" t="n">
        <x:v>121</x:v>
      </x:c>
      <x:c r="E5" s="9" t="n">
        <x:v>44</x:v>
      </x:c>
      <x:c r="F5" s="9" t="n">
        <x:v>255</x:v>
      </x:c>
      <x:c r="G5" s="9" t="n">
        <x:v>259</x:v>
      </x:c>
      <x:c r="H5" s="9" t="n">
        <x:v>82</x:v>
      </x:c>
      <x:c r="I5" s="9" t="n">
        <x:v>76</x:v>
      </x:c>
      <x:c r="J5" s="9" t="n">
        <x:v>92.6</x:v>
      </x:c>
      <x:c r="K5" s="9" t="n">
        <x:v>16.8</x:v>
      </x:c>
      <x:c r="L5" s="9" t="n">
        <x:v>390.082</x:v>
      </x:c>
      <x:c r="M5" s="9" t="n">
        <x:v>35.9</x:v>
      </x:c>
      <x:c r="N5" s="34" t="n">
        <x:v>4483.333333333333</x:v>
      </x:c>
      <x:c r="O5" s="10" t="n">
        <x:v>6</x:v>
      </x:c>
      <x:c r="P5" s="35" t="n">
        <x:v>1</x:v>
      </x:c>
      <x:c r="Q5" s="2" t="str">
        <x:v>OSM radii overlap</x:v>
      </x:c>
    </x:row>
    <x:row r="6">
      <x:c r="A6" s="2" t="str">
        <x:v>R003</x:v>
      </x:c>
      <x:c r="B6" s="2" t="str">
        <x:v>Газпром Поляна</x:v>
      </x:c>
      <x:c r="C6" s="2" t="str">
        <x:v>Краснодарский край</x:v>
      </x:c>
      <x:c r="D6" s="9" t="n">
        <x:v>240</x:v>
      </x:c>
      <x:c r="E6" s="9" t="n">
        <x:v>63</x:v>
      </x:c>
      <x:c r="F6" s="9" t="n">
        <x:v>223</x:v>
      </x:c>
      <x:c r="G6" s="9" t="n">
        <x:v>243</x:v>
      </x:c>
      <x:c r="H6" s="9" t="n">
        <x:v>77</x:v>
      </x:c>
      <x:c r="I6" s="9" t="n">
        <x:v>77</x:v>
      </x:c>
      <x:c r="J6" s="9" t="n">
        <x:v>92.6</x:v>
      </x:c>
      <x:c r="K6" s="9" t="n">
        <x:v>18.6</x:v>
      </x:c>
      <x:c r="L6" s="9" t="n">
        <x:v>390.082</x:v>
      </x:c>
      <x:c r="M6" s="9" t="n">
        <x:v>36.9</x:v>
      </x:c>
      <x:c r="N6" s="34" t="n">
        <x:v>4100</x:v>
      </x:c>
      <x:c r="O6" s="10" t="n">
        <x:v>1</x:v>
      </x:c>
      <x:c r="P6" s="35" t="n">
        <x:v>1</x:v>
      </x:c>
      <x:c r="Q6" s="2" t="str">
        <x:v>OSM radii overlap</x:v>
      </x:c>
    </x:row>
    <x:row r="7">
      <x:c r="A7" s="2" t="str">
        <x:v>R004</x:v>
      </x:c>
      <x:c r="B7" s="2" t="str">
        <x:v>Шерегеш</x:v>
      </x:c>
      <x:c r="C7" s="2" t="str">
        <x:v>Кемеровская область</x:v>
      </x:c>
      <x:c r="D7" s="9" t="n">
        <x:v>142</x:v>
      </x:c>
      <x:c r="E7" s="9" t="n">
        <x:v>23</x:v>
      </x:c>
      <x:c r="F7" s="9" t="n">
        <x:v>233</x:v>
      </x:c>
      <x:c r="G7" s="9" t="n">
        <x:v>57</x:v>
      </x:c>
      <x:c r="H7" s="9" t="n">
        <x:v>4</x:v>
      </x:c>
      <x:c r="I7" s="9" t="n">
        <x:v>54</x:v>
      </x:c>
      <x:c r="J7" s="9" t="n">
        <x:v>93.2</x:v>
      </x:c>
      <x:c r="K7" s="9" t="n">
        <x:v>151.6</x:v>
      </x:c>
      <x:c r="L7" s="9" t="n">
        <x:v>243.92199999999994</x:v>
      </x:c>
      <x:c r="M7" s="9" t="n">
        <x:v>119.2</x:v>
      </x:c>
      <x:c r="N7" s="34"/>
      <x:c r="O7" s="10" t="n">
        <x:v>0</x:v>
      </x:c>
      <x:c r="P7" s="35" t="n">
        <x:v>1</x:v>
      </x:c>
      <x:c r="Q7" s="2"/>
    </x:row>
    <x:row r="8">
      <x:c r="A8" s="2" t="str">
        <x:v>R005</x:v>
      </x:c>
      <x:c r="B8" s="2" t="str">
        <x:v>Архыз</x:v>
      </x:c>
      <x:c r="C8" s="2" t="str">
        <x:v>Карачаево-Черкесская Республика</x:v>
      </x:c>
      <x:c r="D8" s="9" t="n">
        <x:v>42</x:v>
      </x:c>
      <x:c r="E8" s="9" t="n">
        <x:v>13</x:v>
      </x:c>
      <x:c r="F8" s="9" t="n">
        <x:v>187</x:v>
      </x:c>
      <x:c r="G8" s="9" t="n">
        <x:v>69</x:v>
      </x:c>
      <x:c r="H8" s="9" t="n">
        <x:v>25</x:v>
      </x:c>
      <x:c r="I8" s="9" t="n">
        <x:v>18</x:v>
      </x:c>
      <x:c r="J8" s="9" t="n">
        <x:v>107.6</x:v>
      </x:c>
      <x:c r="K8" s="9" t="n">
        <x:v>81.6</x:v>
      </x:c>
      <x:c r="L8" s="9" t="n">
        <x:v>523.1939999999998</x:v>
      </x:c>
      <x:c r="M8" s="9" t="n">
        <x:v>99.4</x:v>
      </x:c>
      <x:c r="N8" s="34" t="n">
        <x:v>3918.75</x:v>
      </x:c>
      <x:c r="O8" s="10" t="n">
        <x:v>4</x:v>
      </x:c>
      <x:c r="P8" s="35" t="n">
        <x:v>1</x:v>
      </x:c>
      <x:c r="Q8" s="2"/>
    </x:row>
    <x:row r="9">
      <x:c r="A9" s="2" t="str">
        <x:v>R006</x:v>
      </x:c>
      <x:c r="B9" s="2" t="str">
        <x:v>Домбай</x:v>
      </x:c>
      <x:c r="C9" s="2" t="str">
        <x:v>Карачаево-Черкесская Республика</x:v>
      </x:c>
      <x:c r="D9" s="9" t="n">
        <x:v>30</x:v>
      </x:c>
      <x:c r="E9" s="9" t="n">
        <x:v>13</x:v>
      </x:c>
      <x:c r="F9" s="9" t="n">
        <x:v>85</x:v>
      </x:c>
      <x:c r="G9" s="9" t="n">
        <x:v>51</x:v>
      </x:c>
      <x:c r="H9" s="9" t="n">
        <x:v>12</x:v>
      </x:c>
      <x:c r="I9" s="9" t="n">
        <x:v>5</x:v>
      </x:c>
      <x:c r="J9" s="9" t="n">
        <x:v>106.4</x:v>
      </x:c>
      <x:c r="K9" s="9" t="n">
        <x:v>86</x:v>
      </x:c>
      <x:c r="L9" s="9" t="n">
        <x:v>564.312</x:v>
      </x:c>
      <x:c r="M9" s="9" t="n">
        <x:v>136</x:v>
      </x:c>
      <x:c r="N9" s="34"/>
      <x:c r="O9" s="10" t="n">
        <x:v>0</x:v>
      </x:c>
      <x:c r="P9" s="35" t="n">
        <x:v>1</x:v>
      </x:c>
      <x:c r="Q9" s="2"/>
    </x:row>
    <x:row r="10">
      <x:c r="A10" s="2" t="str">
        <x:v>R007</x:v>
      </x:c>
      <x:c r="B10" s="2" t="str">
        <x:v>Эльбрус</x:v>
      </x:c>
      <x:c r="C10" s="2" t="str">
        <x:v>Кабардино-Балкарская Республика</x:v>
      </x:c>
      <x:c r="D10" s="9" t="n">
        <x:v>54</x:v>
      </x:c>
      <x:c r="E10" s="9" t="n">
        <x:v>13</x:v>
      </x:c>
      <x:c r="F10" s="9" t="n">
        <x:v>93</x:v>
      </x:c>
      <x:c r="G10" s="9" t="n">
        <x:v>88</x:v>
      </x:c>
      <x:c r="H10" s="9" t="n">
        <x:v>31</x:v>
      </x:c>
      <x:c r="I10" s="9" t="n">
        <x:v>23</x:v>
      </x:c>
      <x:c r="J10" s="9" t="n">
        <x:v>100</x:v>
      </x:c>
      <x:c r="K10" s="9" t="n">
        <x:v>134.6</x:v>
      </x:c>
      <x:c r="L10" s="9" t="n">
        <x:v>402.02399999999983</x:v>
      </x:c>
      <x:c r="M10" s="9" t="n">
        <x:v>95.2</x:v>
      </x:c>
      <x:c r="N10" s="34" t="n">
        <x:v>3465</x:v>
      </x:c>
      <x:c r="O10" s="10" t="n">
        <x:v>6</x:v>
      </x:c>
      <x:c r="P10" s="35" t="n">
        <x:v>1</x:v>
      </x:c>
      <x:c r="Q10" s="2" t="str">
        <x:v>coordinates are proxy; OSM radii overlap</x:v>
      </x:c>
    </x:row>
    <x:row r="11">
      <x:c r="A11" s="2" t="str">
        <x:v>R008</x:v>
      </x:c>
      <x:c r="B11" s="2" t="str">
        <x:v>Чегет</x:v>
      </x:c>
      <x:c r="C11" s="2" t="str">
        <x:v>Кабардино-Балкарская Республика</x:v>
      </x:c>
      <x:c r="D11" s="9" t="n">
        <x:v>36</x:v>
      </x:c>
      <x:c r="E11" s="9" t="n">
        <x:v>11</x:v>
      </x:c>
      <x:c r="F11" s="9" t="n">
        <x:v>94</x:v>
      </x:c>
      <x:c r="G11" s="9" t="n">
        <x:v>82</x:v>
      </x:c>
      <x:c r="H11" s="9" t="n">
        <x:v>26</x:v>
      </x:c>
      <x:c r="I11" s="9" t="n">
        <x:v>21</x:v>
      </x:c>
      <x:c r="J11" s="9" t="n">
        <x:v>100</x:v>
      </x:c>
      <x:c r="K11" s="9" t="n">
        <x:v>135.2</x:v>
      </x:c>
      <x:c r="L11" s="9" t="n">
        <x:v>402.02399999999983</x:v>
      </x:c>
      <x:c r="M11" s="9" t="n">
        <x:v>94.9</x:v>
      </x:c>
      <x:c r="N11" s="34"/>
      <x:c r="O11" s="10" t="n">
        <x:v>0</x:v>
      </x:c>
      <x:c r="P11" s="35" t="n">
        <x:v>1</x:v>
      </x:c>
      <x:c r="Q11" s="2" t="str">
        <x:v>coordinates are proxy; OSM radii overlap</x:v>
      </x:c>
    </x:row>
    <x:row r="12">
      <x:c r="A12" s="2" t="str">
        <x:v>R009</x:v>
      </x:c>
      <x:c r="B12" s="2" t="str">
        <x:v>Мамисон</x:v>
      </x:c>
      <x:c r="C12" s="2" t="str">
        <x:v>Республика Северная Осетия — Алания</x:v>
      </x:c>
      <x:c r="D12" s="9" t="n">
        <x:v>12</x:v>
      </x:c>
      <x:c r="E12" s="9" t="n">
        <x:v>2</x:v>
      </x:c>
      <x:c r="F12" s="9" t="n">
        <x:v>0</x:v>
      </x:c>
      <x:c r="G12" s="9" t="n">
        <x:v>0</x:v>
      </x:c>
      <x:c r="H12" s="9" t="n">
        <x:v>10</x:v>
      </x:c>
      <x:c r="I12" s="9" t="n">
        <x:v>0</x:v>
      </x:c>
      <x:c r="J12" s="9" t="n">
        <x:v>99.2</x:v>
      </x:c>
      <x:c r="K12" s="9" t="n">
        <x:v>118</x:v>
      </x:c>
      <x:c r="L12" s="9" t="n">
        <x:v>315.43399999999986</x:v>
      </x:c>
      <x:c r="M12" s="9" t="n">
        <x:v>86</x:v>
      </x:c>
      <x:c r="N12" s="34" t="n">
        <x:v>2313.75</x:v>
      </x:c>
      <x:c r="O12" s="10" t="n">
        <x:v>4</x:v>
      </x:c>
      <x:c r="P12" s="35" t="n">
        <x:v>1</x:v>
      </x:c>
      <x:c r="Q12" s="2" t="str">
        <x:v>coordinates are proxy; OSM radii overlap</x:v>
      </x:c>
    </x:row>
    <x:row r="13">
      <x:c r="A13" s="2" t="str">
        <x:v>R010</x:v>
      </x:c>
      <x:c r="B13" s="2" t="str">
        <x:v>Цей</x:v>
      </x:c>
      <x:c r="C13" s="2" t="str">
        <x:v>Республика Северная Осетия — Алания</x:v>
      </x:c>
      <x:c r="D13" s="9" t="n">
        <x:v>8</x:v>
      </x:c>
      <x:c r="E13" s="9" t="n">
        <x:v>1</x:v>
      </x:c>
      <x:c r="F13" s="9" t="n">
        <x:v>6</x:v>
      </x:c>
      <x:c r="G13" s="9" t="n">
        <x:v>8</x:v>
      </x:c>
      <x:c r="H13" s="9" t="n">
        <x:v>5</x:v>
      </x:c>
      <x:c r="I13" s="9" t="n">
        <x:v>4</x:v>
      </x:c>
      <x:c r="J13" s="9" t="n">
        <x:v>93.2</x:v>
      </x:c>
      <x:c r="K13" s="9" t="n">
        <x:v>168.6</x:v>
      </x:c>
      <x:c r="L13" s="9" t="n">
        <x:v>264.4039999999999</x:v>
      </x:c>
      <x:c r="M13" s="9" t="n">
        <x:v>76.4</x:v>
      </x:c>
      <x:c r="N13" s="34"/>
      <x:c r="O13" s="10" t="n">
        <x:v>0</x:v>
      </x:c>
      <x:c r="P13" s="35" t="n">
        <x:v>1</x:v>
      </x:c>
      <x:c r="Q13" s="2" t="str">
        <x:v>coordinates are proxy; OSM radii overlap</x:v>
      </x:c>
    </x:row>
    <x:row r="14">
      <x:c r="A14" s="2" t="str">
        <x:v>R011</x:v>
      </x:c>
      <x:c r="B14" s="2" t="str">
        <x:v>Манжерок</x:v>
      </x:c>
      <x:c r="C14" s="2" t="str">
        <x:v>Республика Алтай</x:v>
      </x:c>
      <x:c r="D14" s="9" t="n">
        <x:v>53</x:v>
      </x:c>
      <x:c r="E14" s="9" t="n">
        <x:v>13</x:v>
      </x:c>
      <x:c r="F14" s="9" t="n">
        <x:v>57</x:v>
      </x:c>
      <x:c r="G14" s="9" t="n">
        <x:v>35</x:v>
      </x:c>
      <x:c r="H14" s="9" t="n">
        <x:v>19</x:v>
      </x:c>
      <x:c r="I14" s="9" t="n">
        <x:v>3</x:v>
      </x:c>
      <x:c r="J14" s="9" t="n">
        <x:v>76.6</x:v>
      </x:c>
      <x:c r="K14" s="9" t="n">
        <x:v>122.8</x:v>
      </x:c>
      <x:c r="L14" s="9" t="n">
        <x:v>127.21799999999996</x:v>
      </x:c>
      <x:c r="M14" s="9" t="n">
        <x:v>230.3</x:v>
      </x:c>
      <x:c r="N14" s="34"/>
      <x:c r="O14" s="10" t="n">
        <x:v>0</x:v>
      </x:c>
      <x:c r="P14" s="35" t="n">
        <x:v>0.9090909090909091</x:v>
      </x:c>
      <x:c r="Q14" s="2" t="str">
        <x:v>check coordinates</x:v>
      </x:c>
    </x:row>
    <x:row r="15">
      <x:c r="A15" s="2" t="str">
        <x:v>R012</x:v>
      </x:c>
      <x:c r="B15" s="2" t="str">
        <x:v>Телецкий</x:v>
      </x:c>
      <x:c r="C15" s="2" t="str">
        <x:v>Республика Алтай</x:v>
      </x:c>
      <x:c r="D15" s="9" t="n">
        <x:v>8</x:v>
      </x:c>
      <x:c r="E15" s="9" t="n">
        <x:v>2</x:v>
      </x:c>
      <x:c r="F15" s="9" t="n">
        <x:v>43</x:v>
      </x:c>
      <x:c r="G15" s="9" t="n">
        <x:v>25</x:v>
      </x:c>
      <x:c r="H15" s="9" t="n">
        <x:v>9</x:v>
      </x:c>
      <x:c r="I15" s="9" t="n">
        <x:v>6</x:v>
      </x:c>
      <x:c r="J15" s="9" t="n">
        <x:v>89.4</x:v>
      </x:c>
      <x:c r="K15" s="9" t="n">
        <x:v>132</x:v>
      </x:c>
      <x:c r="L15" s="9" t="n">
        <x:v>242.9979999999999</x:v>
      </x:c>
      <x:c r="M15" s="9" t="n">
        <x:v>228.1</x:v>
      </x:c>
      <x:c r="N15" s="34"/>
      <x:c r="O15" s="10" t="n">
        <x:v>0</x:v>
      </x:c>
      <x:c r="P15" s="35" t="n">
        <x:v>0.9090909090909091</x:v>
      </x:c>
      <x:c r="Q15" s="2" t="str">
        <x:v>check coordinates</x:v>
      </x:c>
    </x:row>
    <x:row r="16">
      <x:c r="A16" s="2" t="str">
        <x:v>R013</x:v>
      </x:c>
      <x:c r="B16" s="2" t="str">
        <x:v>Большой Вудъявр</x:v>
      </x:c>
      <x:c r="C16" s="2" t="str">
        <x:v>Мурманская область</x:v>
      </x:c>
      <x:c r="D16" s="9" t="n">
        <x:v>38</x:v>
      </x:c>
      <x:c r="E16" s="9" t="n">
        <x:v>12</x:v>
      </x:c>
      <x:c r="F16" s="9" t="n">
        <x:v>14</x:v>
      </x:c>
      <x:c r="G16" s="9" t="n">
        <x:v>37</x:v>
      </x:c>
      <x:c r="H16" s="9" t="n">
        <x:v>18</x:v>
      </x:c>
      <x:c r="I16" s="9" t="n">
        <x:v>118</x:v>
      </x:c>
      <x:c r="J16" s="9" t="n">
        <x:v>106.6</x:v>
      </x:c>
      <x:c r="K16" s="9" t="n">
        <x:v>164.6</x:v>
      </x:c>
      <x:c r="L16" s="9" t="n">
        <x:v>186.25599999999986</x:v>
      </x:c>
      <x:c r="M16" s="9" t="n">
        <x:v>135.9</x:v>
      </x:c>
      <x:c r="N16" s="34" t="n">
        <x:v>2649.285714285714</x:v>
      </x:c>
      <x:c r="O16" s="10" t="n">
        <x:v>7</x:v>
      </x:c>
      <x:c r="P16" s="35" t="n">
        <x:v>0.9090909090909091</x:v>
      </x:c>
      <x:c r="Q16" s="2" t="str">
        <x:v>check coordinates; OSM radii overlap</x:v>
      </x:c>
    </x:row>
    <x:row r="17">
      <x:c r="A17" s="2" t="str">
        <x:v>R014</x:v>
      </x:c>
      <x:c r="B17" s="2" t="str">
        <x:v>Кукисвумчорр</x:v>
      </x:c>
      <x:c r="C17" s="2" t="str">
        <x:v>Мурманская область</x:v>
      </x:c>
      <x:c r="D17" s="9" t="n">
        <x:v>9</x:v>
      </x:c>
      <x:c r="E17" s="9" t="n">
        <x:v>5</x:v>
      </x:c>
      <x:c r="F17" s="9" t="n">
        <x:v>4</x:v>
      </x:c>
      <x:c r="G17" s="9" t="n">
        <x:v>8</x:v>
      </x:c>
      <x:c r="H17" s="9" t="n">
        <x:v>11</x:v>
      </x:c>
      <x:c r="I17" s="9" t="n">
        <x:v>41</x:v>
      </x:c>
      <x:c r="J17" s="9" t="n">
        <x:v>109.4</x:v>
      </x:c>
      <x:c r="K17" s="9" t="n">
        <x:v>166.6</x:v>
      </x:c>
      <x:c r="L17" s="9" t="n">
        <x:v>175.48999999999995</x:v>
      </x:c>
      <x:c r="M17" s="9" t="n">
        <x:v>130</x:v>
      </x:c>
      <x:c r="N17" s="34"/>
      <x:c r="O17" s="10" t="n">
        <x:v>0</x:v>
      </x:c>
      <x:c r="P17" s="35" t="n">
        <x:v>0.9090909090909091</x:v>
      </x:c>
      <x:c r="Q17" s="2" t="str">
        <x:v>check coordinates; OSM radii overlap</x:v>
      </x:c>
    </x:row>
    <x:row r="18">
      <x:c r="A18" s="2" t="str">
        <x:v>R015</x:v>
      </x:c>
      <x:c r="B18" s="2" t="str">
        <x:v>КолаСпортЛэнд</x:v>
      </x:c>
      <x:c r="C18" s="2" t="str">
        <x:v>Мурманская область</x:v>
      </x:c>
      <x:c r="D18" s="9" t="n">
        <x:v>36</x:v>
      </x:c>
      <x:c r="E18" s="9" t="n">
        <x:v>11</x:v>
      </x:c>
      <x:c r="F18" s="9" t="n">
        <x:v>12</x:v>
      </x:c>
      <x:c r="G18" s="9" t="n">
        <x:v>36</x:v>
      </x:c>
      <x:c r="H18" s="9" t="n">
        <x:v>14</x:v>
      </x:c>
      <x:c r="I18" s="9" t="n">
        <x:v>108</x:v>
      </x:c>
      <x:c r="J18" s="9" t="n">
        <x:v>106.6</x:v>
      </x:c>
      <x:c r="K18" s="9" t="n">
        <x:v>157.4</x:v>
      </x:c>
      <x:c r="L18" s="9" t="n">
        <x:v>186.25599999999986</x:v>
      </x:c>
      <x:c r="M18" s="9" t="n">
        <x:v>136.7</x:v>
      </x:c>
      <x:c r="N18" s="34"/>
      <x:c r="O18" s="10" t="n">
        <x:v>0</x:v>
      </x:c>
      <x:c r="P18" s="35" t="n">
        <x:v>0.9090909090909091</x:v>
      </x:c>
      <x:c r="Q18" s="2" t="str">
        <x:v>check coordinates; OSM radii overlap</x:v>
      </x:c>
    </x:row>
    <x:row r="19">
      <x:c r="A19" s="2" t="str">
        <x:v>R016</x:v>
      </x:c>
      <x:c r="B19" s="2" t="str">
        <x:v>Горный воздух</x:v>
      </x:c>
      <x:c r="C19" s="2" t="str">
        <x:v>Сахалинская область</x:v>
      </x:c>
      <x:c r="D19" s="9" t="n">
        <x:v>54</x:v>
      </x:c>
      <x:c r="E19" s="9" t="n">
        <x:v>7</x:v>
      </x:c>
      <x:c r="F19" s="9" t="n">
        <x:v>51</x:v>
      </x:c>
      <x:c r="G19" s="9" t="n">
        <x:v>146</x:v>
      </x:c>
      <x:c r="H19" s="9" t="n">
        <x:v>75</x:v>
      </x:c>
      <x:c r="I19" s="9" t="n">
        <x:v>268</x:v>
      </x:c>
      <x:c r="J19" s="9" t="n">
        <x:v>81.8</x:v>
      </x:c>
      <x:c r="K19" s="9" t="n">
        <x:v>150.8</x:v>
      </x:c>
      <x:c r="L19" s="9" t="n">
        <x:v>204.32999999999996</x:v>
      </x:c>
      <x:c r="M19" s="9" t="n">
        <x:v>9.5</x:v>
      </x:c>
      <x:c r="N19" s="34"/>
      <x:c r="O19" s="10" t="n">
        <x:v>0</x:v>
      </x:c>
      <x:c r="P19" s="35" t="n">
        <x:v>0.9090909090909091</x:v>
      </x:c>
      <x:c r="Q19" s="2" t="str">
        <x:v>check coordinates</x:v>
      </x:c>
    </x:row>
    <x:row r="20">
      <x:c r="A20" s="2" t="str">
        <x:v>R017</x:v>
      </x:c>
      <x:c r="B20" s="2" t="str">
        <x:v>Холдоми</x:v>
      </x:c>
      <x:c r="C20" s="2" t="str">
        <x:v>Хабаровский край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3</x:v>
      </x:c>
      <x:c r="J20" s="9" t="n">
        <x:v>62.6</x:v>
      </x:c>
      <x:c r="K20" s="9" t="n">
        <x:v>173</x:v>
      </x:c>
      <x:c r="L20" s="9" t="n">
        <x:v>151.17199999999997</x:v>
      </x:c>
      <x:c r="M20" s="9" t="n">
        <x:v>50.7</x:v>
      </x:c>
      <x:c r="N20" s="34"/>
      <x:c r="O20" s="10" t="n">
        <x:v>0</x:v>
      </x:c>
      <x:c r="P20" s="35" t="n">
        <x:v>0.9090909090909091</x:v>
      </x:c>
      <x:c r="Q20" s="2" t="str">
        <x:v>check coordinates</x:v>
      </x:c>
    </x:row>
    <x:row r="21">
      <x:c r="A21" s="2" t="str">
        <x:v>R018</x:v>
      </x:c>
      <x:c r="B21" s="2" t="str">
        <x:v>Морозная гора</x:v>
      </x:c>
      <x:c r="C21" s="2" t="str">
        <x:v>Камчатский край</x:v>
      </x:c>
      <x:c r="D21" s="9" t="n">
        <x:v>0</x:v>
      </x:c>
      <x:c r="E21" s="9" t="n">
        <x:v>0</x:v>
      </x:c>
      <x:c r="F21" s="9" t="n">
        <x:v>18</x:v>
      </x:c>
      <x:c r="G21" s="9" t="n">
        <x:v>31</x:v>
      </x:c>
      <x:c r="H21" s="9" t="n">
        <x:v>8</x:v>
      </x:c>
      <x:c r="I21" s="9" t="n">
        <x:v>148</x:v>
      </x:c>
      <x:c r="J21" s="9" t="n">
        <x:v>101.2</x:v>
      </x:c>
      <x:c r="K21" s="9" t="n">
        <x:v>136.6</x:v>
      </x:c>
      <x:c r="L21" s="9" t="n">
        <x:v>395.87799999999993</x:v>
      </x:c>
      <x:c r="M21" s="9" t="n">
        <x:v>1.6</x:v>
      </x:c>
      <x:c r="N21" s="34"/>
      <x:c r="O21" s="10" t="n">
        <x:v>0</x:v>
      </x:c>
      <x:c r="P21" s="35" t="n">
        <x:v>0.9090909090909091</x:v>
      </x:c>
      <x:c r="Q21" s="2" t="str">
        <x:v>check coordinates</x:v>
      </x:c>
    </x:row>
    <x:row r="22">
      <x:c r="A22" s="2" t="str">
        <x:v>R019</x:v>
      </x:c>
      <x:c r="B22" s="2" t="str">
        <x:v>Бобровый лог</x:v>
      </x:c>
      <x:c r="C22" s="2" t="str">
        <x:v>Красноярский край</x:v>
      </x:c>
      <x:c r="D22" s="9" t="n">
        <x:v>23</x:v>
      </x:c>
      <x:c r="E22" s="9" t="n">
        <x:v>7</x:v>
      </x:c>
      <x:c r="F22" s="9" t="n">
        <x:v>36</x:v>
      </x:c>
      <x:c r="G22" s="9" t="n">
        <x:v>71</x:v>
      </x:c>
      <x:c r="H22" s="9" t="n">
        <x:v>44</x:v>
      </x:c>
      <x:c r="I22" s="9" t="n">
        <x:v>443</x:v>
      </x:c>
      <x:c r="J22" s="9" t="n">
        <x:v>83.6</x:v>
      </x:c>
      <x:c r="K22" s="9" t="n">
        <x:v>139.8</x:v>
      </x:c>
      <x:c r="L22" s="9" t="n">
        <x:v>93.11399999999999</x:v>
      </x:c>
      <x:c r="M22" s="9" t="n">
        <x:v>28.6</x:v>
      </x:c>
      <x:c r="N22" s="34"/>
      <x:c r="O22" s="10" t="n">
        <x:v>0</x:v>
      </x:c>
      <x:c r="P22" s="35" t="n">
        <x:v>0.9090909090909091</x:v>
      </x:c>
      <x:c r="Q22" s="2" t="str">
        <x:v>check coordinates</x:v>
      </x:c>
    </x:row>
    <x:row r="23">
      <x:c r="A23" s="2" t="str">
        <x:v>R020</x:v>
      </x:c>
      <x:c r="B23" s="2" t="str">
        <x:v>Соболиная гора</x:v>
      </x:c>
      <x:c r="C23" s="2" t="str">
        <x:v>Иркутская область</x:v>
      </x:c>
      <x:c r="D23" s="9" t="n">
        <x:v>18</x:v>
      </x:c>
      <x:c r="E23" s="9" t="n">
        <x:v>7</x:v>
      </x:c>
      <x:c r="F23" s="9" t="n">
        <x:v>18</x:v>
      </x:c>
      <x:c r="G23" s="9" t="n">
        <x:v>29</x:v>
      </x:c>
      <x:c r="H23" s="9" t="n">
        <x:v>4</x:v>
      </x:c>
      <x:c r="I23" s="9" t="n">
        <x:v>52</x:v>
      </x:c>
      <x:c r="J23" s="9" t="n">
        <x:v>79.4</x:v>
      </x:c>
      <x:c r="K23" s="9" t="n">
        <x:v>146.8</x:v>
      </x:c>
      <x:c r="L23" s="9" t="n">
        <x:v>116.08799999999997</x:v>
      </x:c>
      <x:c r="M23" s="9" t="n">
        <x:v>86.9</x:v>
      </x:c>
      <x:c r="N23" s="34"/>
      <x:c r="O23" s="10" t="n">
        <x:v>0</x:v>
      </x:c>
      <x:c r="P23" s="35" t="n">
        <x:v>0.9090909090909091</x:v>
      </x:c>
      <x:c r="Q23" s="2" t="str">
        <x:v>check coordinates</x:v>
      </x:c>
    </x:row>
    <x:row r="24">
      <x:c r="A24" s="2" t="str">
        <x:v>R021</x:v>
      </x:c>
      <x:c r="B24" s="2" t="str">
        <x:v>Гора Белая</x:v>
      </x:c>
      <x:c r="C24" s="2" t="str">
        <x:v>Свердловская область</x:v>
      </x:c>
      <x:c r="D24" s="9" t="n">
        <x:v>5</x:v>
      </x:c>
      <x:c r="E24" s="9" t="n">
        <x:v>4</x:v>
      </x:c>
      <x:c r="F24" s="9" t="n">
        <x:v>3</x:v>
      </x:c>
      <x:c r="G24" s="9" t="n">
        <x:v>2</x:v>
      </x:c>
      <x:c r="H24" s="9" t="n">
        <x:v>3</x:v>
      </x:c>
      <x:c r="I24" s="9" t="n">
        <x:v>3</x:v>
      </x:c>
      <x:c r="J24" s="9" t="n">
        <x:v>74.8</x:v>
      </x:c>
      <x:c r="K24" s="9" t="n">
        <x:v>145.2</x:v>
      </x:c>
      <x:c r="L24" s="9" t="n">
        <x:v>117.24999999999996</x:v>
      </x:c>
      <x:c r="M24" s="9" t="n">
        <x:v>121.7</x:v>
      </x:c>
      <x:c r="N24" s="34"/>
      <x:c r="O24" s="10" t="n">
        <x:v>0</x:v>
      </x:c>
      <x:c r="P24" s="35" t="n">
        <x:v>0.9090909090909091</x:v>
      </x:c>
      <x:c r="Q24" s="2" t="str">
        <x:v>check coordinates</x:v>
      </x:c>
    </x:row>
    <x:row r="25">
      <x:c r="A25" s="2" t="str">
        <x:v>R022</x:v>
      </x:c>
      <x:c r="B25" s="2" t="str">
        <x:v>Евразия</x:v>
      </x:c>
      <x:c r="C25" s="2" t="str">
        <x:v>Челябинская область</x:v>
      </x:c>
      <x:c r="D25" s="9" t="n">
        <x:v>1</x:v>
      </x:c>
      <x:c r="E25" s="9" t="n">
        <x:v>1</x:v>
      </x:c>
      <x:c r="F25" s="9" t="n">
        <x:v>7</x:v>
      </x:c>
      <x:c r="G25" s="9" t="n">
        <x:v>47</x:v>
      </x:c>
      <x:c r="H25" s="9" t="n">
        <x:v>29</x:v>
      </x:c>
      <x:c r="I25" s="9" t="n">
        <x:v>26</x:v>
      </x:c>
      <x:c r="J25" s="9" t="n">
        <x:v>59.8</x:v>
      </x:c>
      <x:c r="K25" s="9" t="n">
        <x:v>135.8</x:v>
      </x:c>
      <x:c r="L25" s="9" t="n">
        <x:v>79.68800000000002</x:v>
      </x:c>
      <x:c r="M25" s="9" t="n">
        <x:v>114.5</x:v>
      </x:c>
      <x:c r="N25" s="34" t="n">
        <x:v>2641.6666666666665</x:v>
      </x:c>
      <x:c r="O25" s="10" t="n">
        <x:v>3</x:v>
      </x:c>
      <x:c r="P25" s="35" t="n">
        <x:v>0.9090909090909091</x:v>
      </x:c>
      <x:c r="Q25" s="2" t="str">
        <x:v>check coordinates</x:v>
      </x:c>
    </x:row>
    <x:row r="26">
      <x:c r="A26" s="2" t="str">
        <x:v>R023</x:v>
      </x:c>
      <x:c r="B26" s="2" t="str">
        <x:v>Аджигардак</x:v>
      </x:c>
      <x:c r="C26" s="2" t="str">
        <x:v>Челябинская область</x:v>
      </x:c>
      <x:c r="D26" s="9" t="n">
        <x:v>15</x:v>
      </x:c>
      <x:c r="E26" s="9" t="n">
        <x:v>8</x:v>
      </x:c>
      <x:c r="F26" s="9" t="n">
        <x:v>1</x:v>
      </x:c>
      <x:c r="G26" s="9" t="n">
        <x:v>11</x:v>
      </x:c>
      <x:c r="H26" s="9" t="n">
        <x:v>11</x:v>
      </x:c>
      <x:c r="I26" s="9" t="n">
        <x:v>28</x:v>
      </x:c>
      <x:c r="J26" s="9" t="n">
        <x:v>85.2</x:v>
      </x:c>
      <x:c r="K26" s="9" t="n">
        <x:v>123.4</x:v>
      </x:c>
      <x:c r="L26" s="9" t="n">
        <x:v>191.18399999999997</x:v>
      </x:c>
      <x:c r="M26" s="9" t="n">
        <x:v>101.1</x:v>
      </x:c>
      <x:c r="N26" s="34"/>
      <x:c r="O26" s="10" t="n">
        <x:v>0</x:v>
      </x:c>
      <x:c r="P26" s="35" t="n">
        <x:v>0.9090909090909091</x:v>
      </x:c>
      <x:c r="Q26" s="2" t="str">
        <x:v>check coordinates</x:v>
      </x:c>
    </x:row>
    <x:row r="27">
      <x:c r="A27" s="2" t="str">
        <x:v>R024</x:v>
      </x:c>
      <x:c r="B27" s="2" t="str">
        <x:v>Солнечная долина</x:v>
      </x:c>
      <x:c r="C27" s="2" t="str">
        <x:v>Челябинская область</x:v>
      </x:c>
      <x:c r="D27" s="9" t="n">
        <x:v>20</x:v>
      </x:c>
      <x:c r="E27" s="9" t="n">
        <x:v>10</x:v>
      </x:c>
      <x:c r="F27" s="9" t="n">
        <x:v>14</x:v>
      </x:c>
      <x:c r="G27" s="9" t="n">
        <x:v>5</x:v>
      </x:c>
      <x:c r="H27" s="9" t="n">
        <x:v>7</x:v>
      </x:c>
      <x:c r="I27" s="9" t="n">
        <x:v>17</x:v>
      </x:c>
      <x:c r="J27" s="9" t="n">
        <x:v>55.4</x:v>
      </x:c>
      <x:c r="K27" s="9" t="n">
        <x:v>127.2</x:v>
      </x:c>
      <x:c r="L27" s="9" t="n">
        <x:v>74.158</x:v>
      </x:c>
      <x:c r="M27" s="9" t="n">
        <x:v>102.4</x:v>
      </x:c>
      <x:c r="N27" s="34"/>
      <x:c r="O27" s="10" t="n">
        <x:v>0</x:v>
      </x:c>
      <x:c r="P27" s="35" t="n">
        <x:v>0.9090909090909091</x:v>
      </x:c>
      <x:c r="Q27" s="2" t="str">
        <x:v>check coordinates</x:v>
      </x:c>
    </x:row>
    <x:row r="28">
      <x:c r="A28" s="2" t="str">
        <x:v>R025</x:v>
      </x:c>
      <x:c r="B28" s="2" t="str">
        <x:v>Завьялиха</x:v>
      </x:c>
      <x:c r="C28" s="2" t="str">
        <x:v>Челябинская область</x:v>
      </x:c>
      <x:c r="D28" s="9" t="n">
        <x:v>5</x:v>
      </x:c>
      <x:c r="E28" s="9" t="n">
        <x:v>2</x:v>
      </x:c>
      <x:c r="F28" s="9" t="n">
        <x:v>1</x:v>
      </x:c>
      <x:c r="G28" s="9" t="n">
        <x:v>3</x:v>
      </x:c>
      <x:c r="H28" s="9" t="n">
        <x:v>0</x:v>
      </x:c>
      <x:c r="I28" s="9" t="n">
        <x:v>0</x:v>
      </x:c>
      <x:c r="J28" s="9" t="n">
        <x:v>81</x:v>
      </x:c>
      <x:c r="K28" s="9" t="n">
        <x:v>130.6</x:v>
      </x:c>
      <x:c r="L28" s="9" t="n">
        <x:v>122.90599999999998</x:v>
      </x:c>
      <x:c r="M28" s="9" t="n">
        <x:v>157.9</x:v>
      </x:c>
      <x:c r="N28" s="34"/>
      <x:c r="O28" s="10" t="n">
        <x:v>0</x:v>
      </x:c>
      <x:c r="P28" s="35" t="n">
        <x:v>0.9090909090909091</x:v>
      </x:c>
      <x:c r="Q28" s="2" t="str">
        <x:v>check coordinates</x:v>
      </x:c>
    </x:row>
    <x:row r="29">
      <x:c r="A29" s="2" t="str">
        <x:v>R026</x:v>
      </x:c>
      <x:c r="B29" s="2" t="str">
        <x:v>Абзаково</x:v>
      </x:c>
      <x:c r="C29" s="2" t="str">
        <x:v>Республика Башкортостан</x:v>
      </x:c>
      <x:c r="D29" s="9" t="n">
        <x:v>19</x:v>
      </x:c>
      <x:c r="E29" s="9" t="n">
        <x:v>8</x:v>
      </x:c>
      <x:c r="F29" s="9" t="n">
        <x:v>55</x:v>
      </x:c>
      <x:c r="G29" s="9" t="n">
        <x:v>15</x:v>
      </x:c>
      <x:c r="H29" s="9" t="n">
        <x:v>14</x:v>
      </x:c>
      <x:c r="I29" s="9" t="n">
        <x:v>10</x:v>
      </x:c>
      <x:c r="J29" s="9" t="n">
        <x:v>55</x:v>
      </x:c>
      <x:c r="K29" s="9" t="n">
        <x:v>134.2</x:v>
      </x:c>
      <x:c r="L29" s="9" t="n">
        <x:v>80.598</x:v>
      </x:c>
      <x:c r="M29" s="9" t="n">
        <x:v>46.1</x:v>
      </x:c>
      <x:c r="N29" s="34"/>
      <x:c r="O29" s="10" t="n">
        <x:v>0</x:v>
      </x:c>
      <x:c r="P29" s="35" t="n">
        <x:v>0.9090909090909091</x:v>
      </x:c>
      <x:c r="Q29" s="2" t="str">
        <x:v>check coordinates</x:v>
      </x:c>
    </x:row>
    <x:row r="30">
      <x:c r="A30" s="2" t="str">
        <x:v>R027</x:v>
      </x:c>
      <x:c r="B30" s="2" t="str">
        <x:v>Мраткино</x:v>
      </x:c>
      <x:c r="C30" s="2" t="str">
        <x:v>Республика Башкортостан</x:v>
      </x:c>
      <x:c r="D30" s="9" t="n">
        <x:v>14</x:v>
      </x:c>
      <x:c r="E30" s="9" t="n">
        <x:v>4</x:v>
      </x:c>
      <x:c r="F30" s="9" t="n">
        <x:v>4</x:v>
      </x:c>
      <x:c r="G30" s="9" t="n">
        <x:v>34</x:v>
      </x:c>
      <x:c r="H30" s="9" t="n">
        <x:v>27</x:v>
      </x:c>
      <x:c r="I30" s="9" t="n">
        <x:v>39</x:v>
      </x:c>
      <x:c r="J30" s="9" t="n">
        <x:v>64.8</x:v>
      </x:c>
      <x:c r="K30" s="9" t="n">
        <x:v>131.8</x:v>
      </x:c>
      <x:c r="L30" s="9" t="n">
        <x:v>103.09599999999998</x:v>
      </x:c>
      <x:c r="M30" s="9" t="n">
        <x:v>67.6</x:v>
      </x:c>
      <x:c r="N30" s="34"/>
      <x:c r="O30" s="10" t="n">
        <x:v>0</x:v>
      </x:c>
      <x:c r="P30" s="35" t="n">
        <x:v>0.9090909090909091</x:v>
      </x:c>
      <x:c r="Q30" s="2" t="str">
        <x:v>check coordinates</x:v>
      </x:c>
    </x:row>
    <x:row r="31">
      <x:c r="A31" s="2" t="str">
        <x:v>R028</x:v>
      </x:c>
      <x:c r="B31" s="2" t="str">
        <x:v>Губаха</x:v>
      </x:c>
      <x:c r="C31" s="2" t="str">
        <x:v>Пермский край</x:v>
      </x:c>
      <x:c r="D31" s="9" t="n">
        <x:v>19</x:v>
      </x:c>
      <x:c r="E31" s="9" t="n">
        <x:v>9</x:v>
      </x:c>
      <x:c r="F31" s="9" t="n">
        <x:v>17</x:v>
      </x:c>
      <x:c r="G31" s="9" t="n">
        <x:v>22</x:v>
      </x:c>
      <x:c r="H31" s="9" t="n">
        <x:v>14</x:v>
      </x:c>
      <x:c r="I31" s="9" t="n">
        <x:v>50</x:v>
      </x:c>
      <x:c r="J31" s="9" t="n">
        <x:v>104.6</x:v>
      </x:c>
      <x:c r="K31" s="9" t="n">
        <x:v>142.8</x:v>
      </x:c>
      <x:c r="L31" s="9" t="n">
        <x:v>214.99799999999996</x:v>
      </x:c>
      <x:c r="M31" s="9" t="n">
        <x:v>136.5</x:v>
      </x:c>
      <x:c r="N31" s="34"/>
      <x:c r="O31" s="10" t="n">
        <x:v>0</x:v>
      </x:c>
      <x:c r="P31" s="35" t="n">
        <x:v>0.9090909090909091</x:v>
      </x:c>
      <x:c r="Q31" s="2" t="str">
        <x:v>check coordinates</x:v>
      </x:c>
    </x:row>
    <x:row r="32">
      <x:c r="A32" s="2" t="str">
        <x:v>R029</x:v>
      </x:c>
      <x:c r="B32" s="2" t="str">
        <x:v>Игора</x:v>
      </x:c>
      <x:c r="C32" s="2" t="str">
        <x:v>Ленинградская область</x:v>
      </x:c>
      <x:c r="D32" s="9" t="n">
        <x:v>21</x:v>
      </x:c>
      <x:c r="E32" s="9" t="n">
        <x:v>9</x:v>
      </x:c>
      <x:c r="F32" s="9" t="n">
        <x:v>39</x:v>
      </x:c>
      <x:c r="G32" s="9" t="n">
        <x:v>28</x:v>
      </x:c>
      <x:c r="H32" s="9" t="n">
        <x:v>12</x:v>
      </x:c>
      <x:c r="I32" s="9" t="n">
        <x:v>98</x:v>
      </x:c>
      <x:c r="J32" s="9" t="n">
        <x:v>75.8</x:v>
      </x:c>
      <x:c r="K32" s="9" t="n">
        <x:v>112</x:v>
      </x:c>
      <x:c r="L32" s="9" t="n">
        <x:v>127.49799999999996</x:v>
      </x:c>
      <x:c r="M32" s="9" t="n">
        <x:v>79.5</x:v>
      </x:c>
      <x:c r="N32" s="34"/>
      <x:c r="O32" s="10" t="n">
        <x:v>0</x:v>
      </x:c>
      <x:c r="P32" s="35" t="n">
        <x:v>1</x:v>
      </x:c>
      <x:c r="Q32" s="2" t="str">
        <x:v>coordinates are proxy</x:v>
      </x:c>
    </x:row>
    <x:row r="33">
      <x:c r="A33" s="2" t="str">
        <x:v>R030</x:v>
      </x:c>
      <x:c r="B33" s="2" t="str">
        <x:v>Сорочаны</x:v>
      </x:c>
      <x:c r="C33" s="2" t="str">
        <x:v>Московская область</x:v>
      </x:c>
      <x:c r="D33" s="9" t="n">
        <x:v>43</x:v>
      </x:c>
      <x:c r="E33" s="9" t="n">
        <x:v>17</x:v>
      </x:c>
      <x:c r="F33" s="9" t="n">
        <x:v>30</x:v>
      </x:c>
      <x:c r="G33" s="9" t="n">
        <x:v>34</x:v>
      </x:c>
      <x:c r="H33" s="9" t="n">
        <x:v>6</x:v>
      </x:c>
      <x:c r="I33" s="9" t="n">
        <x:v>114</x:v>
      </x:c>
      <x:c r="J33" s="9" t="n">
        <x:v>78.8</x:v>
      </x:c>
      <x:c r="K33" s="9" t="n">
        <x:v>105.6</x:v>
      </x:c>
      <x:c r="L33" s="9" t="n">
        <x:v>137.54999999999995</x:v>
      </x:c>
      <x:c r="M33" s="9" t="n">
        <x:v>34.6</x:v>
      </x:c>
      <x:c r="N33" s="34"/>
      <x:c r="O33" s="10" t="n">
        <x:v>0</x:v>
      </x:c>
      <x:c r="P33" s="35" t="n">
        <x:v>1</x:v>
      </x:c>
      <x:c r="Q33" s="2"/>
    </x:row>
    <x:row r="34">
      <x:c r="A34" s="2" t="str">
        <x:v>R031</x:v>
      </x:c>
      <x:c r="B34" s="2" t="str">
        <x:v>Красная Глинка</x:v>
      </x:c>
      <x:c r="C34" s="2" t="str">
        <x:v>Самарская область</x:v>
      </x:c>
      <x:c r="D34" s="9" t="n">
        <x:v>12</x:v>
      </x:c>
      <x:c r="E34" s="9" t="n">
        <x:v>8</x:v>
      </x:c>
      <x:c r="F34" s="9" t="n">
        <x:v>8</x:v>
      </x:c>
      <x:c r="G34" s="9" t="n">
        <x:v>24</x:v>
      </x:c>
      <x:c r="H34" s="9" t="n">
        <x:v>25</x:v>
      </x:c>
      <x:c r="I34" s="9" t="n">
        <x:v>71</x:v>
      </x:c>
      <x:c r="J34" s="9" t="n">
        <x:v>59</x:v>
      </x:c>
      <x:c r="K34" s="9" t="n">
        <x:v>107.2</x:v>
      </x:c>
      <x:c r="L34" s="9" t="n">
        <x:v>106.17599999999997</x:v>
      </x:c>
      <x:c r="M34" s="9" t="n">
        <x:v>14.4</x:v>
      </x:c>
      <x:c r="N34" s="34"/>
      <x:c r="O34" s="10" t="n">
        <x:v>0</x:v>
      </x:c>
      <x:c r="P34" s="35" t="n">
        <x:v>1</x:v>
      </x:c>
      <x:c r="Q34" s="2" t="str">
        <x:v>coordinates are proxy</x:v>
      </x:c>
    </x:row>
    <x:row r="35">
      <x:c r="A35" s="18" t="str">
        <x:v>R032</x:v>
      </x:c>
      <x:c r="B35" s="18" t="str">
        <x:v>Гладенькая</x:v>
      </x:c>
      <x:c r="C35" s="18" t="str">
        <x:v>Республика Хакасия</x:v>
      </x:c>
      <x:c r="D35" s="24" t="n">
        <x:v>0</x:v>
      </x:c>
      <x:c r="E35" s="24" t="n">
        <x:v>0</x:v>
      </x:c>
      <x:c r="F35" s="24" t="n">
        <x:v>3</x:v>
      </x:c>
      <x:c r="G35" s="24" t="n">
        <x:v>10</x:v>
      </x:c>
      <x:c r="H35" s="24" t="n">
        <x:v>0</x:v>
      </x:c>
      <x:c r="I35" s="24" t="n">
        <x:v>84</x:v>
      </x:c>
      <x:c r="J35" s="24" t="n">
        <x:v>76.2</x:v>
      </x:c>
      <x:c r="K35" s="24" t="n">
        <x:v>129.2</x:v>
      </x:c>
      <x:c r="L35" s="24" t="n">
        <x:v>95.24199999999999</x:v>
      </x:c>
      <x:c r="M35" s="24" t="n">
        <x:v>71.2</x:v>
      </x:c>
      <x:c r="N35" s="36" t="n">
        <x:v>2420</x:v>
      </x:c>
      <x:c r="O35" s="23" t="n">
        <x:v>1</x:v>
      </x:c>
      <x:c r="P35" s="37" t="n">
        <x:v>1</x:v>
      </x:c>
      <x:c r="Q35" s="18" t="str">
        <x:v>coordinates are proxy</x:v>
      </x:c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8792"/>
  </x:sheetPr>
  <x:sheetViews>
    <x:sheetView showGridLines="0" workbookViewId="0"/>
  </x:sheetViews>
  <x:sheetFormatPr defaultRowHeight="15"/>
  <x:cols>
    <x:col min="1" max="1" width="8" hidden="0" customWidth="1"/>
    <x:col min="2" max="2" width="66" hidden="0" customWidth="1"/>
    <x:col min="3" max="3" width="52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2"/>
      <x:c r="B1" s="2"/>
      <x:c r="C1" s="2"/>
      <x:c r="D1" s="2"/>
      <x:c r="E1" s="2"/>
      <x:c r="F1" s="2"/>
    </x:row>
    <x:row r="2" ht="24" customHeight="1">
      <x:c r="A2" s="69" t="str">
        <x:v>Методика и ограничения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>
      <x:c r="A5" s="70" t="str">
        <x:v>Что оценивает индекс</x:v>
      </x:c>
      <x:c r="B5" s="71"/>
      <x:c r="C5" s="71"/>
      <x:c r="D5" s="71"/>
      <x:c r="E5" s="71"/>
      <x:c r="F5" s="72"/>
    </x:row>
    <x:row r="6" ht="64" customHeight="1">
      <x:c r="A6" s="2"/>
      <x:c r="B6" s="20" t="str">
        <x:v>Индекс оценивает потенциальную популярность курорта по наблюдаемым косвенным признакам. Региональный турпоток отражает спрос на весь субъект РФ, а не посещаемость конкретного горнолыжного комплекса. Поэтому результат подходит для учебного прототипа, проверки гипотез и приоритизации дальнейшего сбора данных.</x:v>
      </x:c>
      <x:c r="C6" s="2"/>
      <x:c r="D6" s="2"/>
      <x:c r="E6" s="2"/>
      <x:c r="F6" s="2"/>
    </x:row>
    <x:row r="7">
      <x:c r="A7" s="2"/>
      <x:c r="B7" s="20"/>
      <x:c r="C7" s="2"/>
      <x:c r="D7" s="2"/>
      <x:c r="E7" s="2"/>
      <x:c r="F7" s="2"/>
    </x:row>
    <x:row r="8">
      <x:c r="A8" s="2"/>
      <x:c r="B8" s="20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70" t="str">
        <x:v>Основные ограничения</x:v>
      </x:c>
      <x:c r="B10" s="71"/>
      <x:c r="C10" s="71"/>
      <x:c r="D10" s="71"/>
      <x:c r="E10" s="71"/>
      <x:c r="F10" s="72"/>
    </x:row>
    <x:row r="11">
      <x:c r="A11" s="2" t="str">
        <x:v>1</x:v>
      </x:c>
      <x:c r="B11" s="20" t="str">
        <x:v>Все курорты одного региона получают одинаковую региональную оценку спроса.</x:v>
      </x:c>
      <x:c r="C11" s="2"/>
      <x:c r="D11" s="2"/>
      <x:c r="E11" s="2"/>
      <x:c r="F11" s="2"/>
    </x:row>
    <x:row r="12">
      <x:c r="A12" s="2" t="str">
        <x:v>2</x:v>
      </x:c>
      <x:c r="B12" s="20" t="str">
        <x:v>OSM показывает нанесённые объекты и сегменты, а не официальный масштаб курорта.</x:v>
      </x:c>
      <x:c r="C12" s="2"/>
      <x:c r="D12" s="2"/>
      <x:c r="E12" s="2"/>
      <x:c r="F12" s="2"/>
    </x:row>
    <x:row r="13">
      <x:c r="A13" s="2" t="str">
        <x:v>3</x:v>
      </x:c>
      <x:c r="B13" s="20" t="str">
        <x:v>Радиусы соседних курортов могут пересекаться, особенно в Красной Поляне и Приэльбрусье.</x:v>
      </x:c>
      <x:c r="C13" s="2"/>
      <x:c r="D13" s="2"/>
      <x:c r="E13" s="2"/>
      <x:c r="F13" s="2"/>
    </x:row>
    <x:row r="14">
      <x:c r="A14" s="2" t="str">
        <x:v>4</x:v>
      </x:c>
      <x:c r="B14" s="20" t="str">
        <x:v>ERA5 имеет грубое для гор разрешение и сглаживает высотные различия.</x:v>
      </x:c>
      <x:c r="C14" s="2"/>
      <x:c r="D14" s="2"/>
      <x:c r="E14" s="2"/>
      <x:c r="F14" s="2"/>
    </x:row>
    <x:row r="15">
      <x:c r="A15" s="2" t="str">
        <x:v>5</x:v>
      </x:c>
      <x:c r="B15" s="20" t="str">
        <x:v>Цены есть только для части курортов; пропущенная цена получает нейтральный балл 50.</x:v>
      </x:c>
      <x:c r="C15" s="2"/>
      <x:c r="D15" s="2"/>
      <x:c r="E15" s="2"/>
      <x:c r="F15" s="2"/>
    </x:row>
    <x:row r="16">
      <x:c r="A16" s="2" t="str">
        <x:v>6</x:v>
      </x:c>
      <x:c r="B16" s="20" t="str">
        <x:v>Рейтинг не использует фактические продажи ски-пассов, загрузку гостиниц и поисковый спрос.</x:v>
      </x:c>
      <x:c r="C16" s="2"/>
      <x:c r="D16" s="2"/>
      <x:c r="E16" s="2"/>
      <x:c r="F16" s="2"/>
    </x:row>
    <x:row r="17">
      <x:c r="A17" s="18" t="str">
        <x:v>7</x:v>
      </x:c>
      <x:c r="B17" s="21" t="str">
        <x:v>Оперативные значения Росстата за 2025 год могут пересматриваться.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70" t="str">
        <x:v>Источники</x:v>
      </x:c>
      <x:c r="B20" s="71"/>
      <x:c r="C20" s="71"/>
      <x:c r="D20" s="71"/>
      <x:c r="E20" s="71"/>
      <x:c r="F20" s="72"/>
    </x:row>
    <x:row r="21" ht="34" customHeight="1">
      <x:c r="A21" s="73" t="str">
        <x:v>Источник</x:v>
      </x:c>
      <x:c r="B21" s="74" t="str">
        <x:v>Назначение</x:v>
      </x:c>
      <x:c r="C21" s="75" t="str">
        <x:v>Ссылка</x:v>
      </x:c>
      <x:c r="D21" s="2"/>
      <x:c r="E21" s="2"/>
      <x:c r="F21" s="2"/>
    </x:row>
    <x:row r="22">
      <x:c r="A22" s="2" t="str">
        <x:v>Росстат — Туризм</x:v>
      </x:c>
      <x:c r="B22" s="2" t="str">
        <x:v>Официальные публикации</x:v>
      </x:c>
      <x:c r="C22" s="2" t="str">
        <x:v>https://rosstat.gov.ru/statistics/turizm</x:v>
      </x:c>
      <x:c r="D22" s="2"/>
      <x:c r="E22" s="2"/>
      <x:c r="F22" s="2"/>
    </x:row>
    <x:row r="23">
      <x:c r="A23" s="2" t="str">
        <x:v>ЕМИСС 62157</x:v>
      </x:c>
      <x:c r="B23" s="2" t="str">
        <x:v>Турпоток по числу поездок</x:v>
      </x:c>
      <x:c r="C23" s="2" t="str">
        <x:v>https://www.fedstat.ru/indicator/62157</x:v>
      </x:c>
      <x:c r="D23" s="2"/>
      <x:c r="E23" s="2"/>
      <x:c r="F23" s="2"/>
    </x:row>
    <x:row r="24">
      <x:c r="A24" s="2" t="str">
        <x:v>ЕМИСС 62489</x:v>
      </x:c>
      <x:c r="B24" s="2" t="str">
        <x:v>Турпоток по числу ночёвок</x:v>
      </x:c>
      <x:c r="C24" s="2" t="str">
        <x:v>https://www.fedstat.ru/indicator/62489</x:v>
      </x:c>
      <x:c r="D24" s="2"/>
      <x:c r="E24" s="2"/>
      <x:c r="F24" s="2"/>
    </x:row>
    <x:row r="25">
      <x:c r="A25" s="2" t="str">
        <x:v>Росстат в графиках</x:v>
      </x:c>
      <x:c r="B25" s="2" t="str">
        <x:v>Машиночитаемая витрина таблиц Росстата</x:v>
      </x:c>
      <x:c r="C25" s="2" t="str">
        <x:v>https://roschart.ru/docs</x:v>
      </x:c>
      <x:c r="D25" s="2"/>
      <x:c r="E25" s="2"/>
      <x:c r="F25" s="2"/>
    </x:row>
    <x:row r="26">
      <x:c r="A26" s="2" t="str">
        <x:v>OpenStreetMap</x:v>
      </x:c>
      <x:c r="B26" s="2" t="str">
        <x:v>Инфраструктурные прокси</x:v>
      </x:c>
      <x:c r="C26" s="2" t="str">
        <x:v>https://wiki.openstreetmap.org/wiki/Overpass_API</x:v>
      </x:c>
      <x:c r="D26" s="2"/>
      <x:c r="E26" s="2"/>
      <x:c r="F26" s="2"/>
    </x:row>
    <x:row r="27">
      <x:c r="A27" s="18" t="str">
        <x:v>Open-Meteo</x:v>
      </x:c>
      <x:c r="B27" s="18" t="str">
        <x:v>Климатические признаки ERA5</x:v>
      </x:c>
      <x:c r="C27" s="18" t="str">
        <x:v>https://open-meteo.com/en/docs/historical-weather-api</x:v>
      </x:c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70" t="str">
        <x:v>Как улучшить следующую версию</x:v>
      </x:c>
      <x:c r="B30" s="71"/>
      <x:c r="C30" s="71"/>
      <x:c r="D30" s="71"/>
      <x:c r="E30" s="71"/>
      <x:c r="F30" s="72"/>
    </x:row>
    <x:row r="31" ht="64" customHeight="1">
      <x:c r="A31" s="2"/>
      <x:c r="B31" s="20" t="str">
        <x:v>Добавить поисковый спрос по названию курорта, официальную посещаемость, продажи ски-пассов, загрузку и доступность гостиниц, ежедневные котировки перелётов и цены проживания. После запуска Travel Designer целевой переменной должны стать оплаченные бронирования за вычетом отмен.</x:v>
      </x:c>
      <x:c r="C31" s="2"/>
      <x:c r="D31" s="2"/>
      <x:c r="E31" s="2"/>
      <x:c r="F31" s="2"/>
    </x:row>
    <x:row r="32">
      <x:c r="A32" s="2"/>
      <x:c r="B32" s="20"/>
      <x:c r="C32" s="2"/>
      <x:c r="D32" s="2"/>
      <x:c r="E32" s="2"/>
      <x:c r="F32" s="2"/>
    </x:row>
    <x:row r="33">
      <x:c r="A33" s="2"/>
      <x:c r="B33" s="20"/>
      <x:c r="C33" s="2"/>
      <x:c r="D33" s="2"/>
      <x:c r="E33" s="2"/>
      <x:c r="F33" s="2"/>
    </x:row>
    <x:row r="34">
      <x:c r="A34" s="80" t="str">
        <x:v>Новый слой данных</x:v>
      </x:c>
      <x:c r="B34" s="81"/>
      <x:c r="C34" s="82"/>
      <x:c r="D34" s="82"/>
      <x:c r="E34" s="82"/>
      <x:c r="F34" s="83"/>
    </x:row>
    <x:row r="35" ht="28" customHeight="1">
      <x:c r="A35" s="20"/>
      <x:c r="B35" s="20" t="str">
        <x:v>Добавлены региональные показатели КСР, зимняя сезонность, ВДС туризма, доля туризма в ВРП и ёмкость отдельных типов размещения. Они вынесены в отдельный лист и пока не меняют текущий рейтинг.</x:v>
      </x:c>
      <x:c r="C35" s="20"/>
      <x:c r="D35" s="20"/>
      <x:c r="E35" s="20"/>
      <x:c r="F35" s="20"/>
    </x:row>
    <x:row r="36" ht="28" customHeight="1">
      <x:c r="A36" s="20"/>
      <x:c r="B36" s="20"/>
      <x:c r="C36" s="20"/>
      <x:c r="D36" s="20"/>
      <x:c r="E36" s="20"/>
      <x:c r="F36" s="20"/>
    </x:row>
    <x:row r="37" ht="28" customHeight="1">
      <x:c r="A37" s="40"/>
      <x:c r="B37" s="40" t="str">
        <x:v>Приоритет следующей итерации: протестировать зимнюю долю размещённых и зимнюю долю выручки как признаки спроса, затем проверить устойчивость ранжирования к новым весам.</x:v>
      </x:c>
      <x:c r="C37" s="40"/>
      <x:c r="D37" s="40"/>
      <x:c r="E37" s="40"/>
      <x:c r="F37" s="40"/>
    </x:row>
    <x:row r="38" ht="28" customHeight="1">
      <x:c r="A38" s="40"/>
      <x:c r="B38" s="40"/>
      <x:c r="C38" s="40"/>
      <x:c r="D38" s="40"/>
      <x:c r="E38" s="40"/>
      <x:c r="F38" s="40"/>
    </x:row>
    <x:row r="39">
      <x:c r="A39" s="2"/>
      <x:c r="B39" s="2"/>
      <x:c r="C39" s="2"/>
      <x:c r="D39" s="2"/>
      <x:c r="E39" s="2"/>
      <x:c r="F39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6B9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Дополнительные показатели Росстата по регионам курортов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4" customHeight="1">
      <x:c r="A4" s="40" t="str">
        <x:v>Слой для следующей версии модели. В текущий индекс показатели ещё не включены. Зимняя доля = I квартал + IV квартал, делённые на год; пустые значения означают отсутствие или подавление данных в источнике.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4" customHeight="1">
      <x:c r="A6" s="45" t="str">
        <x:v>Регион</x:v>
      </x:c>
      <x:c r="B6" s="46" t="str">
        <x:v>Размещено в КСР, 2025</x:v>
      </x:c>
      <x:c r="C6" s="46" t="str">
        <x:v>Зимняя доля размещённых, 2025</x:v>
      </x:c>
      <x:c r="D6" s="46" t="str">
        <x:v>Выручка КСР, 2025, млн ₽</x:v>
      </x:c>
      <x:c r="E6" s="46" t="str">
        <x:v>Зимняя доля выручки КСР, 2025</x:v>
      </x:c>
      <x:c r="F6" s="46" t="str">
        <x:v>ВДС туризма, 2024, млн ₽</x:v>
      </x:c>
      <x:c r="G6" s="46" t="str">
        <x:v>Доля туризма в ВРП, 2024</x:v>
      </x:c>
      <x:c r="H6" s="46" t="str">
        <x:v>Услуги гостиниц, дек. 2025, млн ₽</x:v>
      </x:c>
      <x:c r="I6" s="46" t="str">
        <x:v>Услуги туроператоров, дек. 2025, млн ₽</x:v>
      </x:c>
      <x:c r="J6" s="46" t="str">
        <x:v>Базы отдыха, объектов</x:v>
      </x:c>
      <x:c r="K6" s="46" t="str">
        <x:v>Базы отдыха, мест</x:v>
      </x:c>
      <x:c r="L6" s="46" t="str">
        <x:v>Кемпинги, объектов</x:v>
      </x:c>
      <x:c r="M6" s="46" t="str">
        <x:v>Кемпинги, мест</x:v>
      </x:c>
      <x:c r="N6" s="46" t="str">
        <x:v>Модульные объекты</x:v>
      </x:c>
      <x:c r="O6" s="46" t="str">
        <x:v>Модульные места</x:v>
      </x:c>
      <x:c r="P6" s="46" t="str">
        <x:v>Иные средства размещения</x:v>
      </x:c>
      <x:c r="Q6" s="46" t="str">
        <x:v>Места в иных средствах</x:v>
      </x:c>
      <x:c r="R6" s="47" t="str">
        <x:v>Полнота строки</x:v>
      </x:c>
    </x:row>
    <x:row r="7">
      <x:c r="A7" s="56" t="str">
        <x:v>Иркутская область</x:v>
      </x:c>
      <x:c r="B7" s="57" t="n">
        <x:v>1090924</x:v>
      </x:c>
      <x:c r="C7" s="58" t="n">
        <x:v>0.47886378886155223</x:v>
      </x:c>
      <x:c r="D7" s="59" t="n">
        <x:v>10960.4841</x:v>
      </x:c>
      <x:c r="E7" s="58" t="n">
        <x:v>0.45765014156628353</x:v>
      </x:c>
      <x:c r="F7" s="59" t="n">
        <x:v>55210.97275863072</x:v>
      </x:c>
      <x:c r="G7" s="60" t="n">
        <x:v>0.018477658903499023</x:v>
      </x:c>
      <x:c r="H7" s="59" t="n">
        <x:v>431.3691</x:v>
      </x:c>
      <x:c r="I7" s="59" t="n">
        <x:v>426.34520000000003</x:v>
      </x:c>
      <x:c r="J7" s="57" t="n">
        <x:v>126</x:v>
      </x:c>
      <x:c r="K7" s="57" t="n">
        <x:v>11085</x:v>
      </x:c>
      <x:c r="L7" s="57" t="n">
        <x:v>7</x:v>
      </x:c>
      <x:c r="M7" s="57" t="n">
        <x:v>517</x:v>
      </x:c>
      <x:c r="N7" s="57" t="n">
        <x:v>32</x:v>
      </x:c>
      <x:c r="O7" s="57" t="n">
        <x:v>1415</x:v>
      </x:c>
      <x:c r="P7" s="57" t="n">
        <x:v>89</x:v>
      </x:c>
      <x:c r="Q7" s="57" t="n">
        <x:v>6487</x:v>
      </x:c>
      <x:c r="R7" s="61" t="n">
        <x:f>COUNTA(B7:Q7)/16</x:f>
        <x:v>1</x:v>
      </x:c>
    </x:row>
    <x:row r="8">
      <x:c r="A8" s="56" t="str">
        <x:v>Кабардино-Балкарская Республика</x:v>
      </x:c>
      <x:c r="B8" s="57" t="n">
        <x:v>284572</x:v>
      </x:c>
      <x:c r="C8" s="58" t="n">
        <x:v>0.43799811646964565</x:v>
      </x:c>
      <x:c r="D8" s="59" t="n">
        <x:v>2859.0137999999997</x:v>
      </x:c>
      <x:c r="E8" s="58" t="n">
        <x:v>0.4457354840329907</x:v>
      </x:c>
      <x:c r="F8" s="59" t="n">
        <x:v>14501.527885881971</x:v>
      </x:c>
      <x:c r="G8" s="60" t="n">
        <x:v>0.04191028422993621</x:v>
      </x:c>
      <x:c r="H8" s="59" t="n">
        <x:v>247.8266</x:v>
      </x:c>
      <x:c r="I8" s="59" t="n">
        <x:v>107.2529</x:v>
      </x:c>
      <x:c r="J8" s="57" t="n">
        <x:v>34</x:v>
      </x:c>
      <x:c r="K8" s="57" t="n">
        <x:v>2026</x:v>
      </x:c>
      <x:c r="L8" s="57" t="n">
        <x:v>22</x:v>
      </x:c>
      <x:c r="M8" s="57" t="n">
        <x:v>367</x:v>
      </x:c>
      <x:c r="N8" s="57" t="n">
        <x:v>53</x:v>
      </x:c>
      <x:c r="O8" s="57" t="n">
        <x:v>1020</x:v>
      </x:c>
      <x:c r="P8" s="57" t="n">
        <x:v>27</x:v>
      </x:c>
      <x:c r="Q8" s="57" t="n">
        <x:v>1565</x:v>
      </x:c>
      <x:c r="R8" s="61" t="n">
        <x:f>COUNTA(B8:Q8)/16</x:f>
        <x:v>1</x:v>
      </x:c>
    </x:row>
    <x:row r="9">
      <x:c r="A9" s="56" t="str">
        <x:v>Камчатский край</x:v>
      </x:c>
      <x:c r="B9" s="57" t="n">
        <x:v>399999</x:v>
      </x:c>
      <x:c r="C9" s="58" t="n">
        <x:v>0.49569123922809805</x:v>
      </x:c>
      <x:c r="D9" s="59" t="n">
        <x:v>6474.061699999999</x:v>
      </x:c>
      <x:c r="E9" s="58" t="n">
        <x:v>0.29037054126314554</x:v>
      </x:c>
      <x:c r="F9" s="59" t="n">
        <x:v>15414.85984092533</x:v>
      </x:c>
      <x:c r="G9" s="60" t="n">
        <x:v>0.03315375376649996</x:v>
      </x:c>
      <x:c r="H9" s="59" t="n">
        <x:v>123.0981</x:v>
      </x:c>
      <x:c r="I9" s="59" t="n">
        <x:v>119.7168</x:v>
      </x:c>
      <x:c r="J9" s="57" t="n">
        <x:v>32</x:v>
      </x:c>
      <x:c r="K9" s="57" t="n">
        <x:v>919</x:v>
      </x:c>
      <x:c r="L9" s="57" t="n">
        <x:v>9</x:v>
      </x:c>
      <x:c r="M9" s="57" t="n">
        <x:v>333</x:v>
      </x:c>
      <x:c r="N9" s="57" t="n">
        <x:v>13</x:v>
      </x:c>
      <x:c r="O9" s="57" t="n">
        <x:v>495</x:v>
      </x:c>
      <x:c r="P9" s="57" t="n">
        <x:v>10</x:v>
      </x:c>
      <x:c r="Q9" s="57" t="n">
        <x:v>782</x:v>
      </x:c>
      <x:c r="R9" s="61" t="n">
        <x:f>COUNTA(B9:Q9)/16</x:f>
        <x:v>1</x:v>
      </x:c>
    </x:row>
    <x:row r="10">
      <x:c r="A10" s="56" t="str">
        <x:v>Карачаево-Черкесская Республика</x:v>
      </x:c>
      <x:c r="B10" s="57" t="n">
        <x:v>314333</x:v>
      </x:c>
      <x:c r="C10" s="58" t="n">
        <x:v>0.4583737628565884</x:v>
      </x:c>
      <x:c r="D10" s="59" t="n">
        <x:v>2811.2515000000003</x:v>
      </x:c>
      <x:c r="E10" s="58" t="n">
        <x:v>0.5008804441722842</x:v>
      </x:c>
      <x:c r="F10" s="59" t="n">
        <x:v>9359.345690522012</x:v>
      </x:c>
      <x:c r="G10" s="60" t="n">
        <x:v>0.05745858528973011</x:v>
      </x:c>
      <x:c r="H10" s="59" t="n">
        <x:v>604.8054000000001</x:v>
      </x:c>
      <x:c r="I10" s="59" t="n">
        <x:v>13.0806</x:v>
      </x:c>
      <x:c r="J10" s="57" t="n">
        <x:v>230</x:v>
      </x:c>
      <x:c r="K10" s="57" t="n">
        <x:v>7049</x:v>
      </x:c>
      <x:c r="L10" s="57"/>
      <x:c r="M10" s="57"/>
      <x:c r="N10" s="57" t="n">
        <x:v>139</x:v>
      </x:c>
      <x:c r="O10" s="57" t="n">
        <x:v>5234</x:v>
      </x:c>
      <x:c r="P10" s="57" t="n">
        <x:v>21</x:v>
      </x:c>
      <x:c r="Q10" s="57" t="n">
        <x:v>684</x:v>
      </x:c>
      <x:c r="R10" s="61" t="n">
        <x:f>COUNTA(B10:Q10)/16</x:f>
        <x:v>0.875</x:v>
      </x:c>
    </x:row>
    <x:row r="11">
      <x:c r="A11" s="56" t="str">
        <x:v>Кемеровская область</x:v>
      </x:c>
      <x:c r="B11" s="57" t="n">
        <x:v>817583</x:v>
      </x:c>
      <x:c r="C11" s="58" t="n">
        <x:v>0.4964890414795807</x:v>
      </x:c>
      <x:c r="D11" s="59" t="n">
        <x:v>6743.0286</x:v>
      </x:c>
      <x:c r="E11" s="58" t="n">
        <x:v>0.39166414035378705</x:v>
      </x:c>
      <x:c r="F11" s="59" t="n">
        <x:v>43906.998140496624</x:v>
      </x:c>
      <x:c r="G11" s="60" t="n">
        <x:v>0.024143615387672634</x:v>
      </x:c>
      <x:c r="H11" s="59" t="n">
        <x:v>446.4474</x:v>
      </x:c>
      <x:c r="I11" s="59" t="n">
        <x:v>641.5585</x:v>
      </x:c>
      <x:c r="J11" s="57" t="n">
        <x:v>63</x:v>
      </x:c>
      <x:c r="K11" s="57" t="n">
        <x:v>5369</x:v>
      </x:c>
      <x:c r="L11" s="57" t="n">
        <x:v>2</x:v>
      </x:c>
      <x:c r="M11" s="57"/>
      <x:c r="N11" s="57" t="n">
        <x:v>29</x:v>
      </x:c>
      <x:c r="O11" s="57" t="n">
        <x:v>1130</x:v>
      </x:c>
      <x:c r="P11" s="57" t="n">
        <x:v>21</x:v>
      </x:c>
      <x:c r="Q11" s="57" t="n">
        <x:v>666</x:v>
      </x:c>
      <x:c r="R11" s="61" t="n">
        <x:f>COUNTA(B11:Q11)/16</x:f>
        <x:v>0.9375</x:v>
      </x:c>
    </x:row>
    <x:row r="12">
      <x:c r="A12" s="56" t="str">
        <x:v>Краснодарский край</x:v>
      </x:c>
      <x:c r="B12" s="57" t="n">
        <x:v>9501255</x:v>
      </x:c>
      <x:c r="C12" s="58" t="n">
        <x:v>0.39870901265148656</x:v>
      </x:c>
      <x:c r="D12" s="59" t="n">
        <x:v>222166.4733</x:v>
      </x:c>
      <x:c r="E12" s="58" t="n">
        <x:v>0.3028172617618809</x:v>
      </x:c>
      <x:c r="F12" s="59" t="n">
        <x:v>304507.5373490806</x:v>
      </x:c>
      <x:c r="G12" s="60" t="n">
        <x:v>0.05655850718582112</x:v>
      </x:c>
      <x:c r="H12" s="59" t="n">
        <x:v>7713.9167</x:v>
      </x:c>
      <x:c r="I12" s="59" t="n">
        <x:v>1095.8334</x:v>
      </x:c>
      <x:c r="J12" s="57" t="n">
        <x:v>418</x:v>
      </x:c>
      <x:c r="K12" s="57" t="n">
        <x:v>43594</x:v>
      </x:c>
      <x:c r="L12" s="57" t="n">
        <x:v>38</x:v>
      </x:c>
      <x:c r="M12" s="57" t="n">
        <x:v>2844</x:v>
      </x:c>
      <x:c r="N12" s="57" t="n">
        <x:v>161</x:v>
      </x:c>
      <x:c r="O12" s="57" t="n">
        <x:v>29056</x:v>
      </x:c>
      <x:c r="P12" s="57" t="n">
        <x:v>1488</x:v>
      </x:c>
      <x:c r="Q12" s="57" t="n">
        <x:v>51045</x:v>
      </x:c>
      <x:c r="R12" s="61" t="n">
        <x:f>COUNTA(B12:Q12)/16</x:f>
        <x:v>1</x:v>
      </x:c>
    </x:row>
    <x:row r="13">
      <x:c r="A13" s="56" t="str">
        <x:v>Красноярский край</x:v>
      </x:c>
      <x:c r="B13" s="57" t="n">
        <x:v>1191057</x:v>
      </x:c>
      <x:c r="C13" s="58" t="n">
        <x:v>0.4491338365838075</x:v>
      </x:c>
      <x:c r="D13" s="59" t="n">
        <x:v>9591.367400000003</x:v>
      </x:c>
      <x:c r="E13" s="58" t="n">
        <x:v>0.4078651079511354</x:v>
      </x:c>
      <x:c r="F13" s="59" t="n">
        <x:v>81209.97789552747</x:v>
      </x:c>
      <x:c r="G13" s="60" t="n">
        <x:v>0.01876813505166207</x:v>
      </x:c>
      <x:c r="H13" s="59" t="n">
        <x:v>611.0206999999999</x:v>
      </x:c>
      <x:c r="I13" s="59" t="n">
        <x:v>538.7929</x:v>
      </x:c>
      <x:c r="J13" s="57" t="n">
        <x:v>118</x:v>
      </x:c>
      <x:c r="K13" s="57" t="n">
        <x:v>6793</x:v>
      </x:c>
      <x:c r="L13" s="57" t="n">
        <x:v>10</x:v>
      </x:c>
      <x:c r="M13" s="57" t="n">
        <x:v>420</x:v>
      </x:c>
      <x:c r="N13" s="57" t="n">
        <x:v>44</x:v>
      </x:c>
      <x:c r="O13" s="57" t="n">
        <x:v>3888</x:v>
      </x:c>
      <x:c r="P13" s="57" t="n">
        <x:v>67</x:v>
      </x:c>
      <x:c r="Q13" s="57" t="n">
        <x:v>12134</x:v>
      </x:c>
      <x:c r="R13" s="61" t="n">
        <x:f>COUNTA(B13:Q13)/16</x:f>
        <x:v>1</x:v>
      </x:c>
    </x:row>
    <x:row r="14">
      <x:c r="A14" s="56" t="str">
        <x:v>Ленинградская область</x:v>
      </x:c>
      <x:c r="B14" s="57" t="n">
        <x:v>1537639</x:v>
      </x:c>
      <x:c r="C14" s="58" t="n">
        <x:v>0.44834840947712695</x:v>
      </x:c>
      <x:c r="D14" s="59" t="n">
        <x:v>18671.1907</x:v>
      </x:c>
      <x:c r="E14" s="58" t="n">
        <x:v>0.36722616731668867</x:v>
      </x:c>
      <x:c r="F14" s="59" t="n">
        <x:v>43037.38437048795</x:v>
      </x:c>
      <x:c r="G14" s="60" t="n">
        <x:v>0.01790141397360963</x:v>
      </x:c>
      <x:c r="H14" s="59" t="n">
        <x:v>255.393</x:v>
      </x:c>
      <x:c r="I14" s="59" t="n">
        <x:v>152.6118</x:v>
      </x:c>
      <x:c r="J14" s="57" t="n">
        <x:v>195</x:v>
      </x:c>
      <x:c r="K14" s="57" t="n">
        <x:v>20545</x:v>
      </x:c>
      <x:c r="L14" s="57" t="n">
        <x:v>3</x:v>
      </x:c>
      <x:c r="M14" s="57"/>
      <x:c r="N14" s="57" t="n">
        <x:v>61</x:v>
      </x:c>
      <x:c r="O14" s="57" t="n">
        <x:v>5621</x:v>
      </x:c>
      <x:c r="P14" s="57" t="n">
        <x:v>88</x:v>
      </x:c>
      <x:c r="Q14" s="57" t="n">
        <x:v>11196</x:v>
      </x:c>
      <x:c r="R14" s="61" t="n">
        <x:f>COUNTA(B14:Q14)/16</x:f>
        <x:v>0.9375</x:v>
      </x:c>
    </x:row>
    <x:row r="15">
      <x:c r="A15" s="56" t="str">
        <x:v>Московская область</x:v>
      </x:c>
      <x:c r="B15" s="57" t="n">
        <x:v>5641768</x:v>
      </x:c>
      <x:c r="C15" s="58" t="n">
        <x:v>0.485355477219198</x:v>
      </x:c>
      <x:c r="D15" s="59" t="n">
        <x:v>72262.5659</x:v>
      </x:c>
      <x:c r="E15" s="58" t="n">
        <x:v>0.4062842183133716</x:v>
      </x:c>
      <x:c r="F15" s="59" t="n">
        <x:v>412236.27914702386</x:v>
      </x:c>
      <x:c r="G15" s="60" t="n">
        <x:v>0.03787776388708679</x:v>
      </x:c>
      <x:c r="H15" s="59" t="n">
        <x:v>2563.0882</x:v>
      </x:c>
      <x:c r="I15" s="59" t="n">
        <x:v>693.6373000000001</x:v>
      </x:c>
      <x:c r="J15" s="57" t="n">
        <x:v>166</x:v>
      </x:c>
      <x:c r="K15" s="57" t="n">
        <x:v>23618</x:v>
      </x:c>
      <x:c r="L15" s="57" t="n">
        <x:v>12</x:v>
      </x:c>
      <x:c r="M15" s="57" t="n">
        <x:v>455</x:v>
      </x:c>
      <x:c r="N15" s="57" t="n">
        <x:v>98</x:v>
      </x:c>
      <x:c r="O15" s="57" t="n">
        <x:v>5810</x:v>
      </x:c>
      <x:c r="P15" s="57" t="n">
        <x:v>49</x:v>
      </x:c>
      <x:c r="Q15" s="57" t="n">
        <x:v>5758</x:v>
      </x:c>
      <x:c r="R15" s="61" t="n">
        <x:f>COUNTA(B15:Q15)/16</x:f>
        <x:v>1</x:v>
      </x:c>
    </x:row>
    <x:row r="16">
      <x:c r="A16" s="56" t="str">
        <x:v>Мурманская область</x:v>
      </x:c>
      <x:c r="B16" s="57" t="n">
        <x:v>488015</x:v>
      </x:c>
      <x:c r="C16" s="58" t="n">
        <x:v>0.5305472167863693</x:v>
      </x:c>
      <x:c r="D16" s="59" t="n">
        <x:v>6673.202299999999</x:v>
      </x:c>
      <x:c r="E16" s="58" t="n">
        <x:v>0.5225760801527025</x:v>
      </x:c>
      <x:c r="F16" s="59" t="n">
        <x:v>32318.8638439029</x:v>
      </x:c>
      <x:c r="G16" s="60" t="n">
        <x:v>0.028834108520340806</x:v>
      </x:c>
      <x:c r="H16" s="59" t="n">
        <x:v>421.7808</x:v>
      </x:c>
      <x:c r="I16" s="59" t="n">
        <x:v>176.46220000000002</x:v>
      </x:c>
      <x:c r="J16" s="57" t="n">
        <x:v>80</x:v>
      </x:c>
      <x:c r="K16" s="57" t="n">
        <x:v>2351</x:v>
      </x:c>
      <x:c r="L16" s="57" t="n">
        <x:v>3</x:v>
      </x:c>
      <x:c r="M16" s="57"/>
      <x:c r="N16" s="57" t="n">
        <x:v>17</x:v>
      </x:c>
      <x:c r="O16" s="57" t="n">
        <x:v>629</x:v>
      </x:c>
      <x:c r="P16" s="57" t="n">
        <x:v>9</x:v>
      </x:c>
      <x:c r="Q16" s="57" t="n">
        <x:v>186</x:v>
      </x:c>
      <x:c r="R16" s="61" t="n">
        <x:f>COUNTA(B16:Q16)/16</x:f>
        <x:v>0.9375</x:v>
      </x:c>
    </x:row>
    <x:row r="17">
      <x:c r="A17" s="56" t="str">
        <x:v>Пермский край</x:v>
      </x:c>
      <x:c r="B17" s="57" t="n">
        <x:v>992350</x:v>
      </x:c>
      <x:c r="C17" s="58" t="n">
        <x:v>0.4553514385045599</x:v>
      </x:c>
      <x:c r="D17" s="59" t="n">
        <x:v>12017.688199999999</x:v>
      </x:c>
      <x:c r="E17" s="58" t="n">
        <x:v>0.414853282680441</x:v>
      </x:c>
      <x:c r="F17" s="59" t="n">
        <x:v>46900.695334699274</x:v>
      </x:c>
      <x:c r="G17" s="60" t="n">
        <x:v>0.018011223277230492</x:v>
      </x:c>
      <x:c r="H17" s="59" t="n">
        <x:v>401.79359999999997</x:v>
      </x:c>
      <x:c r="I17" s="59" t="n">
        <x:v>1793.0392</x:v>
      </x:c>
      <x:c r="J17" s="57" t="n">
        <x:v>104</x:v>
      </x:c>
      <x:c r="K17" s="57" t="n">
        <x:v>4883</x:v>
      </x:c>
      <x:c r="L17" s="57" t="n">
        <x:v>6</x:v>
      </x:c>
      <x:c r="M17" s="57" t="n">
        <x:v>168</x:v>
      </x:c>
      <x:c r="N17" s="57" t="n">
        <x:v>48</x:v>
      </x:c>
      <x:c r="O17" s="57" t="n">
        <x:v>1752</x:v>
      </x:c>
      <x:c r="P17" s="57" t="n">
        <x:v>62</x:v>
      </x:c>
      <x:c r="Q17" s="57" t="n">
        <x:v>7306</x:v>
      </x:c>
      <x:c r="R17" s="61" t="n">
        <x:f>COUNTA(B17:Q17)/16</x:f>
        <x:v>1</x:v>
      </x:c>
    </x:row>
    <x:row r="18">
      <x:c r="A18" s="56" t="str">
        <x:v>Республика Алтай</x:v>
      </x:c>
      <x:c r="B18" s="57" t="n">
        <x:v>423914</x:v>
      </x:c>
      <x:c r="C18" s="58" t="n">
        <x:v>0.4036054482748859</x:v>
      </x:c>
      <x:c r="D18" s="59" t="n">
        <x:v>9127.3934</x:v>
      </x:c>
      <x:c r="E18" s="58" t="n">
        <x:v>0.44831846516005325</x:v>
      </x:c>
      <x:c r="F18" s="59" t="n">
        <x:v>9629.59034125394</x:v>
      </x:c>
      <x:c r="G18" s="60" t="n">
        <x:v>0.0734162484621991</x:v>
      </x:c>
      <x:c r="H18" s="59" t="n">
        <x:v>735.8704</x:v>
      </x:c>
      <x:c r="I18" s="59" t="n">
        <x:v>68.91860000000001</x:v>
      </x:c>
      <x:c r="J18" s="57" t="n">
        <x:v>732</x:v>
      </x:c>
      <x:c r="K18" s="57" t="n">
        <x:v>20545</x:v>
      </x:c>
      <x:c r="L18" s="57" t="n">
        <x:v>37</x:v>
      </x:c>
      <x:c r="M18" s="57" t="n">
        <x:v>624</x:v>
      </x:c>
      <x:c r="N18" s="57" t="n">
        <x:v>108</x:v>
      </x:c>
      <x:c r="O18" s="57" t="n">
        <x:v>3601</x:v>
      </x:c>
      <x:c r="P18" s="57" t="n">
        <x:v>165</x:v>
      </x:c>
      <x:c r="Q18" s="57" t="n">
        <x:v>3750</x:v>
      </x:c>
      <x:c r="R18" s="61" t="n">
        <x:f>COUNTA(B18:Q18)/16</x:f>
        <x:v>1</x:v>
      </x:c>
    </x:row>
    <x:row r="19">
      <x:c r="A19" s="56" t="str">
        <x:v>Республика Башкортостан</x:v>
      </x:c>
      <x:c r="B19" s="57" t="n">
        <x:v>1161488</x:v>
      </x:c>
      <x:c r="C19" s="58" t="n">
        <x:v>0.4347518011378508</x:v>
      </x:c>
      <x:c r="D19" s="59" t="n">
        <x:v>16853.784900000002</x:v>
      </x:c>
      <x:c r="E19" s="58" t="n">
        <x:v>0.413515773539984</x:v>
      </x:c>
      <x:c r="F19" s="59" t="n">
        <x:v>63957.53765384451</x:v>
      </x:c>
      <x:c r="G19" s="60" t="n">
        <x:v>0.021331469780634466</x:v>
      </x:c>
      <x:c r="H19" s="59" t="n">
        <x:v>390.39779999999996</x:v>
      </x:c>
      <x:c r="I19" s="59" t="n">
        <x:v>397.82</x:v>
      </x:c>
      <x:c r="J19" s="57" t="n">
        <x:v>192</x:v>
      </x:c>
      <x:c r="K19" s="57" t="n">
        <x:v>16548</x:v>
      </x:c>
      <x:c r="L19" s="57" t="n">
        <x:v>35</x:v>
      </x:c>
      <x:c r="M19" s="57" t="n">
        <x:v>753</x:v>
      </x:c>
      <x:c r="N19" s="57" t="n">
        <x:v>100</x:v>
      </x:c>
      <x:c r="O19" s="57" t="n">
        <x:v>3202</x:v>
      </x:c>
      <x:c r="P19" s="57" t="n">
        <x:v>119</x:v>
      </x:c>
      <x:c r="Q19" s="57" t="n">
        <x:v>14058</x:v>
      </x:c>
      <x:c r="R19" s="61" t="n">
        <x:f>COUNTA(B19:Q19)/16</x:f>
        <x:v>1</x:v>
      </x:c>
    </x:row>
    <x:row r="20">
      <x:c r="A20" s="56" t="str">
        <x:v>Республика Северная Осетия — Алания</x:v>
      </x:c>
      <x:c r="B20" s="57" t="n">
        <x:v>162959</x:v>
      </x:c>
      <x:c r="C20" s="58" t="n">
        <x:v>0.27149773869500915</x:v>
      </x:c>
      <x:c r="D20" s="59" t="n">
        <x:v>1662.9682999999998</x:v>
      </x:c>
      <x:c r="E20" s="58" t="n">
        <x:v>0.3274820692613322</x:v>
      </x:c>
      <x:c r="F20" s="59" t="n">
        <x:v>10480.446998504762</x:v>
      </x:c>
      <x:c r="G20" s="60" t="n">
        <x:v>0.03261840109137702</x:v>
      </x:c>
      <x:c r="H20" s="59" t="n">
        <x:v>185.4774</x:v>
      </x:c>
      <x:c r="I20" s="59" t="n">
        <x:v>28.8629</x:v>
      </x:c>
      <x:c r="J20" s="57" t="n">
        <x:v>15</x:v>
      </x:c>
      <x:c r="K20" s="57"/>
      <x:c r="L20" s="57" t="n">
        <x:v>2</x:v>
      </x:c>
      <x:c r="M20" s="57"/>
      <x:c r="N20" s="57" t="n">
        <x:v>13</x:v>
      </x:c>
      <x:c r="O20" s="57"/>
      <x:c r="P20" s="57" t="n">
        <x:v>6</x:v>
      </x:c>
      <x:c r="Q20" s="57" t="n">
        <x:v>86</x:v>
      </x:c>
      <x:c r="R20" s="61" t="n">
        <x:f>COUNTA(B20:Q20)/16</x:f>
        <x:v>0.8125</x:v>
      </x:c>
    </x:row>
    <x:row r="21">
      <x:c r="A21" s="56" t="str">
        <x:v>Республика Хакасия</x:v>
      </x:c>
      <x:c r="B21" s="57" t="n">
        <x:v>286101</x:v>
      </x:c>
      <x:c r="C21" s="58" t="n">
        <x:v>0.3613688872111597</x:v>
      </x:c>
      <x:c r="D21" s="59" t="n">
        <x:v>1512.9100999999998</x:v>
      </x:c>
      <x:c r="E21" s="58" t="n">
        <x:v>0.25659898760673205</x:v>
      </x:c>
      <x:c r="F21" s="59" t="n">
        <x:v>10020.07254881164</x:v>
      </x:c>
      <x:c r="G21" s="60" t="n">
        <x:v>0.0253589318213216</x:v>
      </x:c>
      <x:c r="H21" s="59" t="n">
        <x:v>76.8818</x:v>
      </x:c>
      <x:c r="I21" s="59" t="n">
        <x:v>76.2017</x:v>
      </x:c>
      <x:c r="J21" s="57" t="n">
        <x:v>71</x:v>
      </x:c>
      <x:c r="K21" s="57" t="n">
        <x:v>3564</x:v>
      </x:c>
      <x:c r="L21" s="57" t="n">
        <x:v>7</x:v>
      </x:c>
      <x:c r="M21" s="57" t="n">
        <x:v>283</x:v>
      </x:c>
      <x:c r="N21" s="57" t="n">
        <x:v>15</x:v>
      </x:c>
      <x:c r="O21" s="57"/>
      <x:c r="P21" s="57" t="n">
        <x:v>19</x:v>
      </x:c>
      <x:c r="Q21" s="57" t="n">
        <x:v>1703</x:v>
      </x:c>
      <x:c r="R21" s="61" t="n">
        <x:f>COUNTA(B21:Q21)/16</x:f>
        <x:v>0.9375</x:v>
      </x:c>
    </x:row>
    <x:row r="22">
      <x:c r="A22" s="56" t="str">
        <x:v>Самарская область</x:v>
      </x:c>
      <x:c r="B22" s="57" t="n">
        <x:v>1238300</x:v>
      </x:c>
      <x:c r="C22" s="58" t="n">
        <x:v>0.4075409836065574</x:v>
      </x:c>
      <x:c r="D22" s="59" t="n">
        <x:v>12287.1255</x:v>
      </x:c>
      <x:c r="E22" s="58" t="n">
        <x:v>0.41508779250281125</x:v>
      </x:c>
      <x:c r="F22" s="59" t="n">
        <x:v>64158.83064581168</x:v>
      </x:c>
      <x:c r="G22" s="60" t="n">
        <x:v>0.01934647613497425</x:v>
      </x:c>
      <x:c r="H22" s="59" t="n">
        <x:v>381.96909999999997</x:v>
      </x:c>
      <x:c r="I22" s="59" t="n">
        <x:v>584.0703000000001</x:v>
      </x:c>
      <x:c r="J22" s="57" t="n">
        <x:v>111</x:v>
      </x:c>
      <x:c r="K22" s="57" t="n">
        <x:v>11074</x:v>
      </x:c>
      <x:c r="L22" s="57" t="n">
        <x:v>8</x:v>
      </x:c>
      <x:c r="M22" s="57" t="n">
        <x:v>270</x:v>
      </x:c>
      <x:c r="N22" s="57" t="n">
        <x:v>36</x:v>
      </x:c>
      <x:c r="O22" s="57" t="n">
        <x:v>3057</x:v>
      </x:c>
      <x:c r="P22" s="57" t="n">
        <x:v>31</x:v>
      </x:c>
      <x:c r="Q22" s="57" t="n">
        <x:v>2932</x:v>
      </x:c>
      <x:c r="R22" s="61" t="n">
        <x:f>COUNTA(B22:Q22)/16</x:f>
        <x:v>1</x:v>
      </x:c>
    </x:row>
    <x:row r="23">
      <x:c r="A23" s="56" t="str">
        <x:v>Сахалинская область</x:v>
      </x:c>
      <x:c r="B23" s="57" t="n">
        <x:v>255911</x:v>
      </x:c>
      <x:c r="C23" s="58" t="n">
        <x:v>0.4415949294872045</x:v>
      </x:c>
      <x:c r="D23" s="59" t="n">
        <x:v>4392.3276</x:v>
      </x:c>
      <x:c r="E23" s="58" t="n">
        <x:v>0.4342302928406342</x:v>
      </x:c>
      <x:c r="F23" s="59" t="n">
        <x:v>45383.505652645836</x:v>
      </x:c>
      <x:c r="G23" s="60" t="n">
        <x:v>0.027054789953235504</x:v>
      </x:c>
      <x:c r="H23" s="59" t="n">
        <x:v>282.16720000000004</x:v>
      </x:c>
      <x:c r="I23" s="59" t="n">
        <x:v>88.65180000000001</x:v>
      </x:c>
      <x:c r="J23" s="57" t="n">
        <x:v>19</x:v>
      </x:c>
      <x:c r="K23" s="57" t="n">
        <x:v>601</x:v>
      </x:c>
      <x:c r="L23" s="57" t="n">
        <x:v>7</x:v>
      </x:c>
      <x:c r="M23" s="57" t="n">
        <x:v>184</x:v>
      </x:c>
      <x:c r="N23" s="57" t="n">
        <x:v>15</x:v>
      </x:c>
      <x:c r="O23" s="57" t="n">
        <x:v>365</x:v>
      </x:c>
      <x:c r="P23" s="57" t="n">
        <x:v>6</x:v>
      </x:c>
      <x:c r="Q23" s="57" t="n">
        <x:v>188</x:v>
      </x:c>
      <x:c r="R23" s="61" t="n">
        <x:f>COUNTA(B23:Q23)/16</x:f>
        <x:v>1</x:v>
      </x:c>
    </x:row>
    <x:row r="24">
      <x:c r="A24" s="56" t="str">
        <x:v>Свердловская область</x:v>
      </x:c>
      <x:c r="B24" s="57" t="n">
        <x:v>2114460</x:v>
      </x:c>
      <x:c r="C24" s="58" t="n">
        <x:v>0.45160419208686853</x:v>
      </x:c>
      <x:c r="D24" s="59" t="n">
        <x:v>21674.430900000003</x:v>
      </x:c>
      <x:c r="E24" s="58" t="n">
        <x:v>0.43980513001612426</x:v>
      </x:c>
      <x:c r="F24" s="59" t="n">
        <x:v>157778.7278392789</x:v>
      </x:c>
      <x:c r="G24" s="60" t="n">
        <x:v>0.033237714306207956</x:v>
      </x:c>
      <x:c r="H24" s="59" t="n">
        <x:v>696.779</x:v>
      </x:c>
      <x:c r="I24" s="59" t="n">
        <x:v>1780.071</x:v>
      </x:c>
      <x:c r="J24" s="57" t="n">
        <x:v>132</x:v>
      </x:c>
      <x:c r="K24" s="57" t="n">
        <x:v>7742</x:v>
      </x:c>
      <x:c r="L24" s="57" t="n">
        <x:v>13</x:v>
      </x:c>
      <x:c r="M24" s="57" t="n">
        <x:v>354</x:v>
      </x:c>
      <x:c r="N24" s="57" t="n">
        <x:v>58</x:v>
      </x:c>
      <x:c r="O24" s="57" t="n">
        <x:v>1765</x:v>
      </x:c>
      <x:c r="P24" s="57" t="n">
        <x:v>78</x:v>
      </x:c>
      <x:c r="Q24" s="57" t="n">
        <x:v>13974</x:v>
      </x:c>
      <x:c r="R24" s="61" t="n">
        <x:f>COUNTA(B24:Q24)/16</x:f>
        <x:v>1</x:v>
      </x:c>
    </x:row>
    <x:row r="25">
      <x:c r="A25" s="56" t="str">
        <x:v>Хабаровский край</x:v>
      </x:c>
      <x:c r="B25" s="57" t="n">
        <x:v>848257</x:v>
      </x:c>
      <x:c r="C25" s="58" t="n">
        <x:v>0.4471793336217679</x:v>
      </x:c>
      <x:c r="D25" s="59" t="n">
        <x:v>6688.406899999999</x:v>
      </x:c>
      <x:c r="E25" s="58" t="n">
        <x:v>0.4234820701473769</x:v>
      </x:c>
      <x:c r="F25" s="59" t="n">
        <x:v>36095.47888536472</x:v>
      </x:c>
      <x:c r="G25" s="60" t="n">
        <x:v>0.02281628739903158</x:v>
      </x:c>
      <x:c r="H25" s="59" t="n">
        <x:v>466.72459999999995</x:v>
      </x:c>
      <x:c r="I25" s="59" t="n">
        <x:v>638.4571</x:v>
      </x:c>
      <x:c r="J25" s="57" t="n">
        <x:v>28</x:v>
      </x:c>
      <x:c r="K25" s="57" t="n">
        <x:v>1668</x:v>
      </x:c>
      <x:c r="L25" s="57" t="n">
        <x:v>2</x:v>
      </x:c>
      <x:c r="M25" s="57"/>
      <x:c r="N25" s="57" t="n">
        <x:v>12</x:v>
      </x:c>
      <x:c r="O25" s="57" t="n">
        <x:v>506</x:v>
      </x:c>
      <x:c r="P25" s="57" t="n">
        <x:v>18</x:v>
      </x:c>
      <x:c r="Q25" s="57" t="n">
        <x:v>2445</x:v>
      </x:c>
      <x:c r="R25" s="61" t="n">
        <x:f>COUNTA(B25:Q25)/16</x:f>
        <x:v>0.9375</x:v>
      </x:c>
    </x:row>
    <x:row r="26">
      <x:c r="A26" s="62" t="str">
        <x:v>Челябинская область</x:v>
      </x:c>
      <x:c r="B26" s="63" t="n">
        <x:v>1445645</x:v>
      </x:c>
      <x:c r="C26" s="64" t="n">
        <x:v>0.3704816881046177</x:v>
      </x:c>
      <x:c r="D26" s="65" t="n">
        <x:v>13463.812599999997</x:v>
      </x:c>
      <x:c r="E26" s="64" t="n">
        <x:v>0.3773499120152637</x:v>
      </x:c>
      <x:c r="F26" s="65" t="n">
        <x:v>64163.47851824326</x:v>
      </x:c>
      <x:c r="G26" s="66" t="n">
        <x:v>0.021736132690614817</x:v>
      </x:c>
      <x:c r="H26" s="65" t="n">
        <x:v>540.0229</x:v>
      </x:c>
      <x:c r="I26" s="65" t="n">
        <x:v>1624.9007</x:v>
      </x:c>
      <x:c r="J26" s="63" t="n">
        <x:v>168</x:v>
      </x:c>
      <x:c r="K26" s="63" t="n">
        <x:v>19149</x:v>
      </x:c>
      <x:c r="L26" s="63" t="n">
        <x:v>12</x:v>
      </x:c>
      <x:c r="M26" s="63" t="n">
        <x:v>772</x:v>
      </x:c>
      <x:c r="N26" s="63" t="n">
        <x:v>62</x:v>
      </x:c>
      <x:c r="O26" s="63" t="n">
        <x:v>4480</x:v>
      </x:c>
      <x:c r="P26" s="63" t="n">
        <x:v>77</x:v>
      </x:c>
      <x:c r="Q26" s="63" t="n">
        <x:v>16548</x:v>
      </x:c>
      <x:c r="R26" s="67" t="n">
        <x:f>COUNTA(B26:Q26)/16</x:f>
        <x:v>1</x:v>
      </x:c>
    </x:row>
  </x:sheetData>
  <x:mergeCells>
    <x:mergeCell ref="A4:R4"/>
  </x:mergeCells>
  <x:conditionalFormatting sqref="C7:C26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{8F38347E-D69B-361F-206C-D9B64B615B25}</x14:id>
        </x:ext>
      </x:extLst>
    </x:cfRule>
  </x:conditionalFormatting>
  <x:conditionalFormatting sqref="E7:E26">
    <x:cfRule type="dataBar" priority="2">
      <x:dataBar>
        <x:cfvo type="min"/>
        <x:cfvo type="max"/>
        <x:color rgb="FF6A9A55"/>
      </x:dataBar>
      <x:extLst>
        <x:ext xmlns:x14="http://schemas.microsoft.com/office/spreadsheetml/2009/9/main" uri="{B025F937-C7B1-47D3-B67F-A62EFF666E3E}">
          <x14:id>{689286AD-9D62-3478-811D-AB3E53D6883D}</x14:id>
        </x:ext>
      </x:extLst>
    </x:cfRule>
  </x:conditionalFormatting>
  <x:conditionalFormatting sqref="R7:R26">
    <x:cfRule type="colorScale" priority="3">
      <x:colorScale>
        <x:cfvo type="min"/>
        <x:cfvo type="percentile" val="50"/>
        <x:cfvo type="max"/>
        <x:color rgb="FFF7D7D7"/>
        <x:color rgb="FFFCE8C3"/>
        <x:color rgb="FFDDEFE2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F38347E-D69B-361F-206C-D9B64B615B25}">
            <x14:dataBar gradient="0">
              <x14:cfvo type="min"/>
              <x14:cfvo type="max"/>
              <x14:fillColor rgb="FF2F6B9A"/>
            </x14:dataBar>
          </x14:cfRule>
          <xm:sqref>C7:C26</xm:sqref>
        </x14:conditionalFormatting>
        <x14:conditionalFormatting>
          <x14:cfRule type="dataBar" priority="2" id="{689286AD-9D62-3478-811D-AB3E53D6883D}">
            <x14:dataBar gradient="0">
              <x14:cfvo type="min"/>
              <x14:cfvo type="max"/>
              <x14:fillColor rgb="FF6A9A55"/>
            </x14:dataBar>
          </x14:cfRule>
          <xm:sqref>E7:E26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Pr>
    <x:tabColor rgb="FF2F6B9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42" hidden="0" customWidth="1"/>
    <x:col min="5" max="5" width="42" hidden="0" customWidth="1"/>
    <x:col min="6" max="6" width="30" hidden="0" customWidth="1"/>
    <x:col min="7" max="7" width="24" hidden="0" customWidth="1"/>
    <x:col min="8" max="8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Каталог федеральных источников Росстата и ЕМИСС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40" t="str">
        <x:v>Для автоматизации используется машиночитаемая витрина Roschart; в каждой записи сохранена ссылка на исходный файл Росстата. Перед публикацией модели рекомендуется сверять методологию показателя на официальной странице.</x:v>
      </x:c>
      <x:c r="B4" s="40"/>
      <x:c r="C4" s="40"/>
      <x:c r="D4" s="40"/>
      <x:c r="E4" s="40"/>
      <x:c r="F4" s="40"/>
      <x:c r="G4" s="40"/>
      <x:c r="H4" s="40"/>
    </x:row>
    <x:row r="5">
      <x:c r="A5" s="2"/>
      <x:c r="B5" s="2"/>
      <x:c r="C5" s="2"/>
      <x:c r="D5" s="2"/>
      <x:c r="E5" s="2"/>
      <x:c r="F5" s="2"/>
      <x:c r="G5" s="2"/>
      <x:c r="H5" s="2"/>
    </x:row>
    <x:row r="6" ht="44" customHeight="1">
      <x:c r="A6" s="45" t="str">
        <x:v>Показатель</x:v>
      </x:c>
      <x:c r="B6" s="46" t="str">
        <x:v>Периодичность</x:v>
      </x:c>
      <x:c r="C6" s="46" t="str">
        <x:v>Единица</x:v>
      </x:c>
      <x:c r="D6" s="46" t="str">
        <x:v>Официальный файл / ЕМИСС</x:v>
      </x:c>
      <x:c r="E6" s="46" t="str">
        <x:v>Машиночитаемая витрина</x:v>
      </x:c>
      <x:c r="F6" s="46" t="str">
        <x:v>Использование</x:v>
      </x:c>
      <x:c r="G6" s="46" t="str">
        <x:v>Статус</x:v>
      </x:c>
      <x:c r="H6" s="47" t="str">
        <x:v>Идентификатор</x:v>
      </x:c>
    </x:row>
    <x:row r="7">
      <x:c r="A7" s="68" t="str">
        <x:v>Туристские поездки по регионам</x:v>
      </x:c>
      <x:c r="B7" s="68" t="str">
        <x:v>год</x:v>
      </x:c>
      <x:c r="C7" s="68" t="str">
        <x:v>поездок</x:v>
      </x:c>
      <x:c r="D7" s="68" t="str">
        <x:v>https://www.fedstat.ru/indicator/62157</x:v>
      </x:c>
      <x:c r="E7" s="68" t="str">
        <x:v>—</x:v>
      </x:c>
      <x:c r="F7" s="68" t="str">
        <x:v>Базовый региональный спрос</x:v>
      </x:c>
      <x:c r="G7" s="68" t="str">
        <x:v>уже в модели</x:v>
      </x:c>
      <x:c r="H7" s="68" t="str">
        <x:v>ЕМИСС 62157</x:v>
      </x:c>
    </x:row>
    <x:row r="8">
      <x:c r="A8" s="68" t="str">
        <x:v>Туристский поток по ночёвкам</x:v>
      </x:c>
      <x:c r="B8" s="68" t="str">
        <x:v>год</x:v>
      </x:c>
      <x:c r="C8" s="68" t="str">
        <x:v>ночёвок</x:v>
      </x:c>
      <x:c r="D8" s="68" t="str">
        <x:v>https://www.fedstat.ru/indicator/62489</x:v>
      </x:c>
      <x:c r="E8" s="68" t="str">
        <x:v>—</x:v>
      </x:c>
      <x:c r="F8" s="68" t="str">
        <x:v>Средняя длительность поездки</x:v>
      </x:c>
      <x:c r="G8" s="68" t="str">
        <x:v>уже в модели</x:v>
      </x:c>
      <x:c r="H8" s="68" t="str">
        <x:v>ЕМИСС 62489</x:v>
      </x:c>
    </x:row>
    <x:row r="9">
      <x:c r="A9" s="68" t="str">
        <x:v>Динамика численности граждан в средствах размещения по регионам</x:v>
      </x:c>
      <x:c r="B9" s="68" t="str">
        <x:v>annual</x:v>
      </x:c>
      <x:c r="C9" s="68" t="str">
        <x:v>—</x:v>
      </x:c>
      <x:c r="D9" s="68" t="str">
        <x:v>https://rosstat.gov.ru/storage/mediabank/SR_mes_sub_07-2026.xlsx</x:v>
      </x:c>
      <x:c r="E9" s="68" t="str">
        <x:v>https://roschart.ru/dataset/sr-mes-sub-07-2026-chislennost-razmeschennyh-lic-v-kollektiv</x:v>
      </x:c>
      <x:c r="F9" s="68" t="str">
        <x:v>Зимняя сезонность спроса</x:v>
      </x:c>
      <x:c r="G9" s="68" t="str">
        <x:v>добавлено в расширенный слой</x:v>
      </x:c>
      <x:c r="H9" s="68" t="str">
        <x:v>sr-mes-sub-07-2026-chislennost-razmeschennyh-lic-v-kollektiv</x:v>
      </x:c>
    </x:row>
    <x:row r="10">
      <x:c r="A10" s="68" t="str">
        <x:v>Показатели выручки гостиниц и иных средств размещения</x:v>
      </x:c>
      <x:c r="B10" s="68" t="str">
        <x:v>annual</x:v>
      </x:c>
      <x:c r="C10" s="68" t="str">
        <x:v>—</x:v>
      </x:c>
      <x:c r="D10" s="68" t="str">
        <x:v>https://rosstat.gov.ru/storage/mediabank/SR_mes_sub_07-2026.xlsx</x:v>
      </x:c>
      <x:c r="E10" s="68" t="str">
        <x:v>https://roschart.ru/dataset/sr-mes-sub-07-2026-dohody-kollektivnyh-sredstv-razmescheniya</x:v>
      </x:c>
      <x:c r="F10" s="68" t="str">
        <x:v>Монетизация и зимняя сезонность</x:v>
      </x:c>
      <x:c r="G10" s="68" t="str">
        <x:v>добавлено в расширенный слой</x:v>
      </x:c>
      <x:c r="H10" s="68" t="str">
        <x:v>sr-mes-sub-07-2026-dohody-kollektivnyh-sredstv-razmescheniya</x:v>
      </x:c>
    </x:row>
    <x:row r="11">
      <x:c r="A11" s="68" t="str">
        <x:v>Валовая добавленная стоимость туристской индустрии по субъектам РФ</x:v>
      </x:c>
      <x:c r="B11" s="68" t="str">
        <x:v>annual</x:v>
      </x:c>
      <x:c r="C11" s="68" t="str">
        <x:v>в основных ценах, млн. руб.</x:v>
      </x:c>
      <x:c r="D11" s="68" t="str">
        <x:v>https://rosstat.gov.ru/storage/mediabank/VDS_ti-okved2_vrp.xlsx</x:v>
      </x:c>
      <x:c r="E11" s="68" t="str">
        <x:v>https://roschart.ru/dataset/vds-ti-okved2-vrp-valovaya-dobavlennaya-stoimost-turistskoy</x:v>
      </x:c>
      <x:c r="F11" s="68" t="str">
        <x:v>Масштаб туристической экономики</x:v>
      </x:c>
      <x:c r="G11" s="68" t="str">
        <x:v>добавлено в расширенный слой</x:v>
      </x:c>
      <x:c r="H11" s="68" t="str">
        <x:v>vds-ti-okved2-vrp-valovaya-dobavlennaya-stoimost-turistskoy</x:v>
      </x:c>
    </x:row>
    <x:row r="12">
      <x:c r="A12" s="68" t="str">
        <x:v>Доля туристской индустрии в валовом региональном продукте</x:v>
      </x:c>
      <x:c r="B12" s="68" t="str">
        <x:v>annual</x:v>
      </x:c>
      <x:c r="C12" s="68" t="str">
        <x:v>—</x:v>
      </x:c>
      <x:c r="D12" s="68" t="str">
        <x:v>https://rosstat.gov.ru/storage/mediabank/VDS_ti-okved2_vrp.xlsx</x:v>
      </x:c>
      <x:c r="E12" s="68" t="str">
        <x:v>https://roschart.ru/dataset/vds-ti-okved2-vrp-dolya-valovoy-dobavlennoy-stoimosti-turist</x:v>
      </x:c>
      <x:c r="F12" s="68" t="str">
        <x:v>Туристическая специализация региона</x:v>
      </x:c>
      <x:c r="G12" s="68" t="str">
        <x:v>добавлено в расширенный слой</x:v>
      </x:c>
      <x:c r="H12" s="68" t="str">
        <x:v>vds-ti-okved2-vrp-dolya-valovoy-dobavlennoy-stoimosti-turist</x:v>
      </x:c>
    </x:row>
    <x:row r="13">
      <x:c r="A13" s="68" t="str">
        <x:v>Показатели платных услуг гостиниц и временного жилья в декабре 2025</x:v>
      </x:c>
      <x:c r="B13" s="68" t="str">
        <x:v>none</x:v>
      </x:c>
      <x:c r="C13" s="68" t="str">
        <x:v>—</x:v>
      </x:c>
      <x:c r="D13" s="68" t="str">
        <x:v>https://rosstat.gov.ru/storage/mediabank/plat_122025.xls</x:v>
      </x:c>
      <x:c r="E13" s="68" t="str">
        <x:v>https://roschart.ru/dataset/plat-122025-osnovnye-pokazateli-platnyh-uslug-naseleniyu-za-3</x:v>
      </x:c>
      <x:c r="F13" s="68" t="str">
        <x:v>Контроль динамики гостиничного рынка</x:v>
      </x:c>
      <x:c r="G13" s="68" t="str">
        <x:v>добавлено в расширенный слой</x:v>
      </x:c>
      <x:c r="H13" s="68" t="str">
        <x:v>plat-122025-osnovnye-pokazateli-platnyh-uslug-naseleniyu-za-3</x:v>
      </x:c>
    </x:row>
    <x:row r="14">
      <x:c r="A14" s="68" t="str">
        <x:v>Услуги туристических агентств и туроператоров в декабре 2025 года</x:v>
      </x:c>
      <x:c r="B14" s="68" t="str">
        <x:v>none</x:v>
      </x:c>
      <x:c r="C14" s="68" t="str">
        <x:v>—</x:v>
      </x:c>
      <x:c r="D14" s="68" t="str">
        <x:v>https://rosstat.gov.ru/storage/mediabank/plat_122025.xls</x:v>
      </x:c>
      <x:c r="E14" s="68" t="str">
        <x:v>https://roschart.ru/dataset/plat-122025-osnovnye-pokazateli-platnyh-uslug-naseleniyu-za-15</x:v>
      </x:c>
      <x:c r="F14" s="68" t="str">
        <x:v>Прокси продаж организованных туров</x:v>
      </x:c>
      <x:c r="G14" s="68" t="str">
        <x:v>добавлено в расширенный слой</x:v>
      </x:c>
      <x:c r="H14" s="68" t="str">
        <x:v>plat-122025-osnovnye-pokazateli-platnyh-uslug-naseleniyu-za-15</x:v>
      </x:c>
    </x:row>
    <x:row r="15">
      <x:c r="A15" s="68" t="str">
        <x:v>Базы отдыха: число и вместимость по регионам</x:v>
      </x:c>
      <x:c r="B15" s="68" t="str">
        <x:v>none</x:v>
      </x:c>
      <x:c r="C15" s="68" t="str">
        <x:v>—</x:v>
      </x:c>
      <x:c r="D15" s="68" t="str">
        <x:v>https://rosstat.gov.ru/storage/mediabank/SR_god_sub_2025.xlsx</x:v>
      </x:c>
      <x:c r="E15" s="68" t="str">
        <x:v>https://roschart.ru/dataset/sr-god-sub-2025-bazy-otdyha1-2025</x:v>
      </x:c>
      <x:c r="F15" s="68" t="str">
        <x:v>Ёмкость средств размещения</x:v>
      </x:c>
      <x:c r="G15" s="68" t="str">
        <x:v>добавлено в расширенный слой</x:v>
      </x:c>
      <x:c r="H15" s="68" t="str">
        <x:v>sr-god-sub-2025-bazy-otdyha1-2025</x:v>
      </x:c>
    </x:row>
    <x:row r="16">
      <x:c r="A16" s="68" t="str">
        <x:v>Кемпинги в России: число и вместимость по регионам</x:v>
      </x:c>
      <x:c r="B16" s="68" t="str">
        <x:v>none</x:v>
      </x:c>
      <x:c r="C16" s="68" t="str">
        <x:v>—</x:v>
      </x:c>
      <x:c r="D16" s="68" t="str">
        <x:v>https://rosstat.gov.ru/storage/mediabank/SR_god_sub_2025.xlsx</x:v>
      </x:c>
      <x:c r="E16" s="68" t="str">
        <x:v>https://roschart.ru/dataset/sr-god-sub-2025-kempingi1-2025</x:v>
      </x:c>
      <x:c r="F16" s="68" t="str">
        <x:v>Ёмкость средств размещения</x:v>
      </x:c>
      <x:c r="G16" s="68" t="str">
        <x:v>добавлено в расширенный слой</x:v>
      </x:c>
      <x:c r="H16" s="68" t="str">
        <x:v>sr-god-sub-2025-kempingi1-2025</x:v>
      </x:c>
    </x:row>
    <x:row r="17">
      <x:c r="A17" s="68" t="str">
        <x:v>Модульные некапитальные средства размещения в регионах</x:v>
      </x:c>
      <x:c r="B17" s="68" t="str">
        <x:v>none</x:v>
      </x:c>
      <x:c r="C17" s="68" t="str">
        <x:v>—</x:v>
      </x:c>
      <x:c r="D17" s="68" t="str">
        <x:v>https://rosstat.gov.ru/storage/mediabank/SR_god_sub_2025.xlsx</x:v>
      </x:c>
      <x:c r="E17" s="68" t="str">
        <x:v>https://roschart.ru/dataset/sr-god-sub-2025-modulnye-nekapitalnye-sredstva-razmescheniya</x:v>
      </x:c>
      <x:c r="F17" s="68" t="str">
        <x:v>Ёмкость средств размещения</x:v>
      </x:c>
      <x:c r="G17" s="68" t="str">
        <x:v>добавлено в расширенный слой</x:v>
      </x:c>
      <x:c r="H17" s="68" t="str">
        <x:v>sr-god-sub-2025-modulnye-nekapitalnye-sredstva-razmescheniya</x:v>
      </x:c>
    </x:row>
    <x:row r="18">
      <x:c r="A18" s="21" t="str">
        <x:v>Иные средства размещения: число объектов и мест по регионам</x:v>
      </x:c>
      <x:c r="B18" s="21" t="str">
        <x:v>none</x:v>
      </x:c>
      <x:c r="C18" s="21" t="str">
        <x:v>—</x:v>
      </x:c>
      <x:c r="D18" s="21" t="str">
        <x:v>https://rosstat.gov.ru/storage/mediabank/SR_god_sub_2025.xlsx</x:v>
      </x:c>
      <x:c r="E18" s="21" t="str">
        <x:v>https://roschart.ru/dataset/sr-god-sub-2025-inye-sredstva-razmescheniya1-2025</x:v>
      </x:c>
      <x:c r="F18" s="21" t="str">
        <x:v>Ёмкость средств размещения</x:v>
      </x:c>
      <x:c r="G18" s="21" t="str">
        <x:v>добавлено в расширенный слой</x:v>
      </x:c>
      <x:c r="H18" s="21" t="str">
        <x:v>sr-god-sub-2025-inye-sredstva-razmescheniya1-2025</x:v>
      </x:c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</x:sheetData>
  <x:mergeCells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A9A5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3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4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Официальные региональные источники по туризму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 ht="34" customHeight="1">
      <x:c r="A4" s="40" t="str">
        <x:v>Отдельная проверка министерств, агентств и туристических порталов. Большинство источников пригодно как источник документов и точечных показателей, но не как стабильный машиночитаемый канал.</x:v>
      </x:c>
      <x:c r="B4" s="40"/>
      <x:c r="C4" s="40"/>
      <x:c r="D4" s="40"/>
      <x:c r="E4" s="40"/>
      <x:c r="F4" s="40"/>
      <x:c r="G4" s="40"/>
    </x:row>
    <x:row r="5">
      <x:c r="A5" s="2"/>
      <x:c r="B5" s="2"/>
      <x:c r="C5" s="2"/>
      <x:c r="D5" s="2"/>
      <x:c r="E5" s="2"/>
      <x:c r="F5" s="2"/>
      <x:c r="G5" s="2"/>
    </x:row>
    <x:row r="6" ht="44" customHeight="1">
      <x:c r="A6" s="45" t="str">
        <x:v>Регион</x:v>
      </x:c>
      <x:c r="B6" s="46" t="str">
        <x:v>Орган / портал</x:v>
      </x:c>
      <x:c r="C6" s="46" t="str">
        <x:v>Ссылка</x:v>
      </x:c>
      <x:c r="D6" s="46" t="str">
        <x:v>Что найдено</x:v>
      </x:c>
      <x:c r="E6" s="46" t="str">
        <x:v>Формат</x:v>
      </x:c>
      <x:c r="F6" s="46" t="str">
        <x:v>Обновление</x:v>
      </x:c>
      <x:c r="G6" s="47" t="str">
        <x:v>Вывод</x:v>
      </x:c>
    </x:row>
    <x:row r="7" ht="44" customHeight="1">
      <x:c r="A7" s="68" t="str">
        <x:v>Иркутская область</x:v>
      </x:c>
      <x:c r="B7" s="68" t="str">
        <x:v>Агентство по туризму Иркутской области</x:v>
      </x:c>
      <x:c r="C7" s="68" t="str">
        <x:v>https://irkobl.ru/sites/tour/</x:v>
      </x:c>
      <x:c r="D7" s="68" t="str">
        <x:v>Новости, документы, реестры и отраслевые материалы</x:v>
      </x:c>
      <x:c r="E7" s="68" t="str">
        <x:v>HTML / документы</x:v>
      </x:c>
      <x:c r="F7" s="68" t="str">
        <x:v>ручной мониторинг</x:v>
      </x:c>
      <x:c r="G7" s="68" t="str">
        <x:v>Отдельного регулярного CSV/API по турпотоку не найдено</x:v>
      </x:c>
    </x:row>
    <x:row r="8" ht="44" customHeight="1">
      <x:c r="A8" s="68" t="str">
        <x:v>Кабардино-Балкарская Республика</x:v>
      </x:c>
      <x:c r="B8" s="68" t="str">
        <x:v>Правительство КБР / профильное министерство</x:v>
      </x:c>
      <x:c r="C8" s="68" t="str">
        <x:v>https://pravitelstvo.kbr.ru/</x:v>
      </x:c>
      <x:c r="D8" s="68" t="str">
        <x:v>Новости, государственные программы и отчётные материалы</x:v>
      </x:c>
      <x:c r="E8" s="68" t="str">
        <x:v>HTML / PDF</x:v>
      </x:c>
      <x:c r="F8" s="68" t="str">
        <x:v>ручное извлечение</x:v>
      </x:c>
      <x:c r="G8" s="68" t="str">
        <x:v>Машиночитаемый туристический набор не найден</x:v>
      </x:c>
    </x:row>
    <x:row r="9" ht="44" customHeight="1">
      <x:c r="A9" s="68" t="str">
        <x:v>Камчатский край</x:v>
      </x:c>
      <x:c r="B9" s="68" t="str">
        <x:v>Правительство Камчатского края</x:v>
      </x:c>
      <x:c r="C9" s="68" t="str">
        <x:v>https://government.kamgov.ru/</x:v>
      </x:c>
      <x:c r="D9" s="68" t="str">
        <x:v>Раздел открытых данных и материалы профильных органов</x:v>
      </x:c>
      <x:c r="E9" s="68" t="str">
        <x:v>HTML / открытые данные / документы</x:v>
      </x:c>
      <x:c r="F9" s="68" t="str">
        <x:v>проверять каталог</x:v>
      </x:c>
      <x:c r="G9" s="68" t="str">
        <x:v>Туристический временной ряд в машиночитаемом виде не подтверждён</x:v>
      </x:c>
    </x:row>
    <x:row r="10" ht="44" customHeight="1">
      <x:c r="A10" s="68" t="str">
        <x:v>Карачаево-Черкесская Республика</x:v>
      </x:c>
      <x:c r="B10" s="68" t="str">
        <x:v>Министерство туризма и курортов КЧР</x:v>
      </x:c>
      <x:c r="C10" s="68" t="str">
        <x:v>https://tourismkchr.ru/</x:v>
      </x:c>
      <x:c r="D10" s="68" t="str">
        <x:v>Программы, документы, маршруты, информация о мониторинге</x:v>
      </x:c>
      <x:c r="E10" s="68" t="str">
        <x:v>HTML / PDF / DOCX</x:v>
      </x:c>
      <x:c r="F10" s="68" t="str">
        <x:v>ручное извлечение</x:v>
      </x:c>
      <x:c r="G10" s="68" t="str">
        <x:v>Регулярный CSV/API по посещаемости не найден</x:v>
      </x:c>
    </x:row>
    <x:row r="11" ht="44" customHeight="1">
      <x:c r="A11" s="68" t="str">
        <x:v>Кемеровская область</x:v>
      </x:c>
      <x:c r="B11" s="68" t="str">
        <x:v>Агентство по туризму Кузбасса</x:v>
      </x:c>
      <x:c r="C11" s="68" t="str">
        <x:v>https://kuzbass-tourism.ru/</x:v>
      </x:c>
      <x:c r="D11" s="68" t="str">
        <x:v>Реестры, новости и материалы по развитию туризма; показатели Шерегеша встречаются в программах</x:v>
      </x:c>
      <x:c r="E11" s="68" t="str">
        <x:v>HTML / документы</x:v>
      </x:c>
      <x:c r="F11" s="68" t="str">
        <x:v>ручное извлечение</x:v>
      </x:c>
      <x:c r="G11" s="68" t="str">
        <x:v>Есть точечные официальные показатели, но нет стабильного API</x:v>
      </x:c>
    </x:row>
    <x:row r="12" ht="44" customHeight="1">
      <x:c r="A12" s="68" t="str">
        <x:v>Краснодарский край</x:v>
      </x:c>
      <x:c r="B12" s="68" t="str">
        <x:v>Министерство курортов, туризма и олимпийского наследия Краснодарского края</x:v>
      </x:c>
      <x:c r="C12" s="68" t="str">
        <x:v>https://kurort.krasnodar.ru/</x:v>
      </x:c>
      <x:c r="D12" s="68" t="str">
        <x:v>Новости, документы, реестры, отраслевые итоги</x:v>
      </x:c>
      <x:c r="E12" s="68" t="str">
        <x:v>HTML / документы</x:v>
      </x:c>
      <x:c r="F12" s="68" t="str">
        <x:v>ручной мониторинг</x:v>
      </x:c>
      <x:c r="G12" s="68" t="str">
        <x:v>Регулярный набор по отдельным курортам не найден</x:v>
      </x:c>
    </x:row>
    <x:row r="13" ht="44" customHeight="1">
      <x:c r="A13" s="68" t="str">
        <x:v>Красноярский край</x:v>
      </x:c>
      <x:c r="B13" s="68" t="str">
        <x:v>Агентство по туризму Красноярского края</x:v>
      </x:c>
      <x:c r="C13" s="68" t="str">
        <x:v>https://turizm.krskstate.ru/</x:v>
      </x:c>
      <x:c r="D13" s="68" t="str">
        <x:v>Документы, отчёты, реестры и новости</x:v>
      </x:c>
      <x:c r="E13" s="68" t="str">
        <x:v>HTML / документы</x:v>
      </x:c>
      <x:c r="F13" s="68" t="str">
        <x:v>ручное извлечение</x:v>
      </x:c>
      <x:c r="G13" s="68" t="str">
        <x:v>Машиночитаемый временной ряд по объектам не найден</x:v>
      </x:c>
    </x:row>
    <x:row r="14" ht="44" customHeight="1">
      <x:c r="A14" s="68" t="str">
        <x:v>Ленинградская область</x:v>
      </x:c>
      <x:c r="B14" s="68" t="str">
        <x:v>Комитет по культуре и туризму / туристский информационный центр</x:v>
      </x:c>
      <x:c r="C14" s="68" t="str">
        <x:v>https://itc.lenobl.ru/</x:v>
      </x:c>
      <x:c r="D14" s="68" t="str">
        <x:v>Программы содержат турпоток и ёмкость средств размещения</x:v>
      </x:c>
      <x:c r="E14" s="68" t="str">
        <x:v>HTML / правовые документы</x:v>
      </x:c>
      <x:c r="F14" s="68" t="str">
        <x:v>ручное извлечение</x:v>
      </x:c>
      <x:c r="G14" s="68" t="str">
        <x:v>Есть сопоставимые показатели в программах, но не как API/CSV</x:v>
      </x:c>
    </x:row>
    <x:row r="15" ht="44" customHeight="1">
      <x:c r="A15" s="68" t="str">
        <x:v>Московская область</x:v>
      </x:c>
      <x:c r="B15" s="68" t="str">
        <x:v>Официальный туристический портал Московской области</x:v>
      </x:c>
      <x:c r="C15" s="68" t="str">
        <x:v>https://welcome.mosreg.ru/</x:v>
      </x:c>
      <x:c r="D15" s="68" t="str">
        <x:v>Каталог объектов, маршрутов и событий</x:v>
      </x:c>
      <x:c r="E15" s="68" t="str">
        <x:v>HTML</x:v>
      </x:c>
      <x:c r="F15" s="68" t="str">
        <x:v>парсинг требует проверки условий</x:v>
      </x:c>
      <x:c r="G15" s="68" t="str">
        <x:v>Статистический открытый набор не найден</x:v>
      </x:c>
    </x:row>
    <x:row r="16" ht="44" customHeight="1">
      <x:c r="A16" s="68" t="str">
        <x:v>Мурманская область</x:v>
      </x:c>
      <x:c r="B16" s="68" t="str">
        <x:v>Официальный туристический портал Мурманской области</x:v>
      </x:c>
      <x:c r="C16" s="68" t="str">
        <x:v>https://murmansktravel.info/</x:v>
      </x:c>
      <x:c r="D16" s="68" t="str">
        <x:v>Каталог объектов, маршрутов, событий и новости</x:v>
      </x:c>
      <x:c r="E16" s="68" t="str">
        <x:v>HTML</x:v>
      </x:c>
      <x:c r="F16" s="68" t="str">
        <x:v>ручной мониторинг</x:v>
      </x:c>
      <x:c r="G16" s="68" t="str">
        <x:v>Статистический API/CSV не найден</x:v>
      </x:c>
    </x:row>
    <x:row r="17" ht="44" customHeight="1">
      <x:c r="A17" s="68" t="str">
        <x:v>Пермский край</x:v>
      </x:c>
      <x:c r="B17" s="68" t="str">
        <x:v>Министерство по туризму Пермского края</x:v>
      </x:c>
      <x:c r="C17" s="68" t="str">
        <x:v>https://mtm.permkrai.ru/</x:v>
      </x:c>
      <x:c r="D17" s="68" t="str">
        <x:v>Новости, документы и отраслевые материалы; отдельный сборник выпускает Пермьстат</x:v>
      </x:c>
      <x:c r="E17" s="68" t="str">
        <x:v>HTML / документы</x:v>
      </x:c>
      <x:c r="F17" s="68" t="str">
        <x:v>ручное извлечение</x:v>
      </x:c>
      <x:c r="G17" s="68" t="str">
        <x:v>Основной сопоставимый слой лучше брать у Росстата</x:v>
      </x:c>
    </x:row>
    <x:row r="18" ht="44" customHeight="1">
      <x:c r="A18" s="68" t="str">
        <x:v>Республика Алтай</x:v>
      </x:c>
      <x:c r="B18" s="68" t="str">
        <x:v>Правительство Республики Алтай</x:v>
      </x:c>
      <x:c r="C18" s="68" t="str">
        <x:v>https://altai-republic.ru/</x:v>
      </x:c>
      <x:c r="D18" s="68" t="str">
        <x:v>Новости, программы и документы по туризму</x:v>
      </x:c>
      <x:c r="E18" s="68" t="str">
        <x:v>HTML / документы</x:v>
      </x:c>
      <x:c r="F18" s="68" t="str">
        <x:v>ручной мониторинг</x:v>
      </x:c>
      <x:c r="G18" s="68" t="str">
        <x:v>Регулярный машиночитаемый набор не найден</x:v>
      </x:c>
    </x:row>
    <x:row r="19" ht="44" customHeight="1">
      <x:c r="A19" s="68" t="str">
        <x:v>Республика Башкортостан</x:v>
      </x:c>
      <x:c r="B19" s="68" t="str">
        <x:v>Правительство Республики Башкортостан</x:v>
      </x:c>
      <x:c r="C19" s="68" t="str">
        <x:v>https://pravitelstvorb.ru/</x:v>
      </x:c>
      <x:c r="D19" s="68" t="str">
        <x:v>Новости, программы и отраслевые материалы</x:v>
      </x:c>
      <x:c r="E19" s="68" t="str">
        <x:v>HTML / документы</x:v>
      </x:c>
      <x:c r="F19" s="68" t="str">
        <x:v>ручное извлечение</x:v>
      </x:c>
      <x:c r="G19" s="68" t="str">
        <x:v>Для временных рядов предпочтительнее Башкортостанстат/Росстат</x:v>
      </x:c>
    </x:row>
    <x:row r="20" ht="44" customHeight="1">
      <x:c r="A20" s="68" t="str">
        <x:v>Республика Северная Осетия — Алания</x:v>
      </x:c>
      <x:c r="B20" s="68" t="str">
        <x:v>Правительство Республики Северная Осетия — Алания</x:v>
      </x:c>
      <x:c r="C20" s="68" t="str">
        <x:v>https://alania.gov.ru/pages/2363</x:v>
      </x:c>
      <x:c r="D20" s="68" t="str">
        <x:v>Раздел о туризме, стратегии и программные документы</x:v>
      </x:c>
      <x:c r="E20" s="68" t="str">
        <x:v>HTML / PDF</x:v>
      </x:c>
      <x:c r="F20" s="68" t="str">
        <x:v>ручное извлечение</x:v>
      </x:c>
      <x:c r="G20" s="68" t="str">
        <x:v>Есть показатели в стратегиях, регулярного API/CSV не найдено</x:v>
      </x:c>
    </x:row>
    <x:row r="21" ht="44" customHeight="1">
      <x:c r="A21" s="68" t="str">
        <x:v>Республика Хакасия</x:v>
      </x:c>
      <x:c r="B21" s="68" t="str">
        <x:v>Правительство Республики Хакасия</x:v>
      </x:c>
      <x:c r="C21" s="68" t="str">
        <x:v>https://r-19.ru/</x:v>
      </x:c>
      <x:c r="D21" s="68" t="str">
        <x:v>На главной странице опубликованы турпоток и налоговая отдача сферы туризма</x:v>
      </x:c>
      <x:c r="E21" s="68" t="str">
        <x:v>HTML</x:v>
      </x:c>
      <x:c r="F21" s="68" t="str">
        <x:v>ручной мониторинг</x:v>
      </x:c>
      <x:c r="G21" s="68" t="str">
        <x:v>Есть точечные показатели; временной ряд ограничен</x:v>
      </x:c>
    </x:row>
    <x:row r="22" ht="44" customHeight="1">
      <x:c r="A22" s="68" t="str">
        <x:v>Самарская область</x:v>
      </x:c>
      <x:c r="B22" s="68" t="str">
        <x:v>Правительство Самарской области / профильный департамент</x:v>
      </x:c>
      <x:c r="C22" s="68" t="str">
        <x:v>https://www.samregion.ru/</x:v>
      </x:c>
      <x:c r="D22" s="68" t="str">
        <x:v>Программы, новости и отчётные материалы</x:v>
      </x:c>
      <x:c r="E22" s="68" t="str">
        <x:v>HTML / документы</x:v>
      </x:c>
      <x:c r="F22" s="68" t="str">
        <x:v>ручное извлечение</x:v>
      </x:c>
      <x:c r="G22" s="68" t="str">
        <x:v>Машиночитаемый туристический набор не найден</x:v>
      </x:c>
    </x:row>
    <x:row r="23" ht="44" customHeight="1">
      <x:c r="A23" s="68" t="str">
        <x:v>Сахалинская область</x:v>
      </x:c>
      <x:c r="B23" s="68" t="str">
        <x:v>Правительство Сахалинской области</x:v>
      </x:c>
      <x:c r="C23" s="68" t="str">
        <x:v>https://sakhalin.gov.ru/</x:v>
      </x:c>
      <x:c r="D23" s="68" t="str">
        <x:v>Новости и документы профильного министерства; отдельные показатели публикуются в сообщениях</x:v>
      </x:c>
      <x:c r="E23" s="68" t="str">
        <x:v>HTML / документы</x:v>
      </x:c>
      <x:c r="F23" s="68" t="str">
        <x:v>ручное извлечение</x:v>
      </x:c>
      <x:c r="G23" s="68" t="str">
        <x:v>Есть точечные показатели, стабильный набор не найден</x:v>
      </x:c>
    </x:row>
    <x:row r="24" ht="44" customHeight="1">
      <x:c r="A24" s="68" t="str">
        <x:v>Свердловская область</x:v>
      </x:c>
      <x:c r="B24" s="68" t="str">
        <x:v>Министерство инвестиций и развития Свердловской области</x:v>
      </x:c>
      <x:c r="C24" s="68" t="str">
        <x:v>https://mir.midural.ru/</x:v>
      </x:c>
      <x:c r="D24" s="68" t="str">
        <x:v>Открытые данные общего назначения, отчёты и материалы по туризму</x:v>
      </x:c>
      <x:c r="E24" s="68" t="str">
        <x:v>HTML / документы / открытые данные</x:v>
      </x:c>
      <x:c r="F24" s="68" t="str">
        <x:v>проверять каталог</x:v>
      </x:c>
      <x:c r="G24" s="68" t="str">
        <x:v>Туристический ряд по курортам в CSV/API не подтверждён</x:v>
      </x:c>
    </x:row>
    <x:row r="25" ht="44" customHeight="1">
      <x:c r="A25" s="68" t="str">
        <x:v>Хабаровский край</x:v>
      </x:c>
      <x:c r="B25" s="68" t="str">
        <x:v>Министерство туризма Хабаровского края</x:v>
      </x:c>
      <x:c r="C25" s="68" t="str">
        <x:v>https://mintour.khabkrai.ru/</x:v>
      </x:c>
      <x:c r="D25" s="68" t="str">
        <x:v>Новости, документы, программы и реестры</x:v>
      </x:c>
      <x:c r="E25" s="68" t="str">
        <x:v>HTML / документы</x:v>
      </x:c>
      <x:c r="F25" s="68" t="str">
        <x:v>ручное извлечение</x:v>
      </x:c>
      <x:c r="G25" s="68" t="str">
        <x:v>Регулярный CSV/API по туристическому потоку не найден</x:v>
      </x:c>
    </x:row>
    <x:row r="26" ht="44" customHeight="1">
      <x:c r="A26" s="21" t="str">
        <x:v>Челябинская область</x:v>
      </x:c>
      <x:c r="B26" s="21" t="str">
        <x:v>Официальный туристический портал Челябинской области</x:v>
      </x:c>
      <x:c r="C26" s="21" t="str">
        <x:v>https://chel.travel/</x:v>
      </x:c>
      <x:c r="D26" s="21" t="str">
        <x:v>Каталог объектов, маршрутов и событий; официальные новости управления туризмом</x:v>
      </x:c>
      <x:c r="E26" s="21" t="str">
        <x:v>HTML</x:v>
      </x:c>
      <x:c r="F26" s="21" t="str">
        <x:v>ручной мониторинг</x:v>
      </x:c>
      <x:c r="G26" s="21" t="str">
        <x:v>Статистический открытый набор не найден</x:v>
      </x:c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</x:sheetData>
  <x:mergeCells>
    <x:mergeCell ref="A4:G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A9A5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58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Точечные показатели региональных органов власти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40" t="str">
        <x:v>Эти значения не включены в рейтинг: определения, периоды и способы расчёта различаются. Они полезны для проверки гипотез и поиска более детальных данных по конкретным курортам.</x:v>
      </x:c>
      <x:c r="B4" s="40"/>
      <x:c r="C4" s="40"/>
      <x:c r="D4" s="40"/>
      <x:c r="E4" s="40"/>
      <x:c r="F4" s="40"/>
      <x:c r="G4" s="40"/>
      <x:c r="H4" s="40"/>
    </x:row>
    <x:row r="5">
      <x:c r="A5" s="2"/>
      <x:c r="B5" s="2"/>
      <x:c r="C5" s="2"/>
      <x:c r="D5" s="2"/>
      <x:c r="E5" s="2"/>
      <x:c r="F5" s="2"/>
      <x:c r="G5" s="2"/>
      <x:c r="H5" s="2"/>
    </x:row>
    <x:row r="6" ht="44" customHeight="1">
      <x:c r="A6" s="45" t="str">
        <x:v>Регион</x:v>
      </x:c>
      <x:c r="B6" s="46" t="str">
        <x:v>Показатель</x:v>
      </x:c>
      <x:c r="C6" s="46" t="str">
        <x:v>Период</x:v>
      </x:c>
      <x:c r="D6" s="46" t="str">
        <x:v>Значение</x:v>
      </x:c>
      <x:c r="E6" s="46" t="str">
        <x:v>Единица</x:v>
      </x:c>
      <x:c r="F6" s="46" t="str">
        <x:v>Источник</x:v>
      </x:c>
      <x:c r="G6" s="46" t="str">
        <x:v>Примечание</x:v>
      </x:c>
      <x:c r="H6" s="47" t="str">
        <x:v>Сопоставимость</x:v>
      </x:c>
    </x:row>
    <x:row r="7" ht="48" customHeight="1">
      <x:c r="A7" s="68" t="str">
        <x:v>Кемеровская область</x:v>
      </x:c>
      <x:c r="B7" s="68" t="str">
        <x:v>Посещения Шерегеша</x:v>
      </x:c>
      <x:c r="C7" s="68" t="str">
        <x:v>2022 / 2023 / 2024</x:v>
      </x:c>
      <x:c r="D7" s="68" t="str">
        <x:v>2 082 000 / 2 292 036 / 2 476 447</x:v>
      </x:c>
      <x:c r="E7" s="68" t="str">
        <x:v>посещений</x:v>
      </x:c>
      <x:c r="F7" s="68" t="str">
        <x:v>https://kemerovo-pravo.ru/postanovlenie/2026/03/11/n-127/</x:v>
      </x:c>
      <x:c r="G7" s="68" t="str">
        <x:v>В программе показатель указан со ссылкой на данные Министерства туризма Кузбасса; средняя продолжительность пребывания — 7 дней.</x:v>
      </x:c>
      <x:c r="H7" s="68" t="str">
        <x:v>только внутри региона</x:v>
      </x:c>
    </x:row>
    <x:row r="8" ht="48" customHeight="1">
      <x:c r="A8" s="68" t="str">
        <x:v>Республика Хакасия</x:v>
      </x:c>
      <x:c r="B8" s="68" t="str">
        <x:v>Туристический поток по числу поездок</x:v>
      </x:c>
      <x:c r="C8" s="68" t="str">
        <x:v>2022 / 2025</x:v>
      </x:c>
      <x:c r="D8" s="68" t="str">
        <x:v>363,1 / 601,9</x:v>
      </x:c>
      <x:c r="E8" s="68" t="str">
        <x:v>тыс. поездок</x:v>
      </x:c>
      <x:c r="F8" s="68" t="str">
        <x:v>https://r-19.ru/</x:v>
      </x:c>
      <x:c r="G8" s="68" t="str">
        <x:v>Официальная витрина правительства; подходит для проверки порядка величины, но не заменяет полный ряд ЕМИСС.</x:v>
      </x:c>
      <x:c r="H8" s="68" t="str">
        <x:v>только внутри региона</x:v>
      </x:c>
    </x:row>
    <x:row r="9" ht="48" customHeight="1">
      <x:c r="A9" s="68" t="str">
        <x:v>Республика Хакасия</x:v>
      </x:c>
      <x:c r="B9" s="68" t="str">
        <x:v>Налоговые поступления от сферы туризма</x:v>
      </x:c>
      <x:c r="C9" s="68" t="str">
        <x:v>2018 / 2025</x:v>
      </x:c>
      <x:c r="D9" s="68" t="str">
        <x:v>192,3 / 629,9</x:v>
      </x:c>
      <x:c r="E9" s="68" t="str">
        <x:v>млн руб.</x:v>
      </x:c>
      <x:c r="F9" s="68" t="str">
        <x:v>https://r-19.ru/</x:v>
      </x:c>
      <x:c r="G9" s="68" t="str">
        <x:v>Определение показателя нужно уточнить перед сравнением с другими регионами.</x:v>
      </x:c>
      <x:c r="H9" s="68" t="str">
        <x:v>только внутри региона</x:v>
      </x:c>
    </x:row>
    <x:row r="10" ht="48" customHeight="1">
      <x:c r="A10" s="68" t="str">
        <x:v>Ленинградская область</x:v>
      </x:c>
      <x:c r="B10" s="68" t="str">
        <x:v>Коллективные средства размещения / койко-места</x:v>
      </x:c>
      <x:c r="C10" s="68" t="str">
        <x:v>начало 2023</x:v>
      </x:c>
      <x:c r="D10" s="68" t="str">
        <x:v>более 930 / 66 485</x:v>
      </x:c>
      <x:c r="E10" s="68" t="str">
        <x:v>объектов / мест</x:v>
      </x:c>
      <x:c r="F10" s="68" t="str">
        <x:v>https://lenoblpravo.ru/postanovlenie/2023/12/13/n-924/</x:v>
      </x:c>
      <x:c r="G10" s="68" t="str">
        <x:v>Показатель из государственной программы; ручное извлечение из правового документа.</x:v>
      </x:c>
      <x:c r="H10" s="68" t="str">
        <x:v>только внутри региона</x:v>
      </x:c>
    </x:row>
    <x:row r="11" ht="48" customHeight="1">
      <x:c r="A11" s="21" t="str">
        <x:v>Ленинградская область</x:v>
      </x:c>
      <x:c r="B11" s="21" t="str">
        <x:v>Туристы / экскурсанты</x:v>
      </x:c>
      <x:c r="C11" s="21" t="str">
        <x:v>2022</x:v>
      </x:c>
      <x:c r="D11" s="21" t="str">
        <x:v>1 865 411 / 4 153 604</x:v>
      </x:c>
      <x:c r="E11" s="21" t="str">
        <x:v>человек</x:v>
      </x:c>
      <x:c r="F11" s="21" t="str">
        <x:v>https://lenoblpravo.ru/postanovlenie/2023/12/13/n-924/</x:v>
      </x:c>
      <x:c r="G11" s="21" t="str">
        <x:v>Региональная методика отличается от показателя туристских поездок ЕМИСС.</x:v>
      </x:c>
      <x:c r="H11" s="21" t="str">
        <x:v>только внутри региона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</x:sheetData>
  <x:mergeCells>
    <x:mergeCell ref="A4:H4"/>
  </x:mergeCells>
  <x:pageMargins left="0.7" right="0.7" top="0.75" bottom="0.75" header="0.3" footer="0.3"/>
</x:worksheet>
</file>